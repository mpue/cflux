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ue\Desktop\"/>
    </mc:Choice>
  </mc:AlternateContent>
  <xr:revisionPtr revIDLastSave="0" documentId="13_ncr:1_{050742CD-EC5A-42B4-B4B2-51AE183D663E}" xr6:coauthVersionLast="47" xr6:coauthVersionMax="47" xr10:uidLastSave="{00000000-0000-0000-0000-000000000000}"/>
  <bookViews>
    <workbookView xWindow="38235" yWindow="-165" windowWidth="38730" windowHeight="21210" xr2:uid="{8E212768-57AD-4383-855F-3F13FD0508B3}"/>
  </bookViews>
  <sheets>
    <sheet name="KPI-OnePager-new-2024" sheetId="1" r:id="rId1"/>
  </sheets>
  <externalReferences>
    <externalReference r:id="rId2"/>
  </externalReferences>
  <definedNames>
    <definedName name="Projektname" localSheetId="0">'[1]Drop Down'!$B$4:$B$27</definedName>
    <definedName name="Projektname">'[1]Drop Down'!$B$4:$B$27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L38" i="1"/>
  <c r="L33" i="1"/>
  <c r="L34" i="1"/>
  <c r="L35" i="1"/>
  <c r="L36" i="1"/>
  <c r="L37" i="1"/>
  <c r="L32" i="1"/>
  <c r="D90" i="1"/>
  <c r="C11" i="1" l="1"/>
  <c r="E32" i="1"/>
  <c r="E33" i="1"/>
  <c r="E34" i="1"/>
  <c r="E35" i="1"/>
  <c r="E36" i="1"/>
  <c r="E37" i="1"/>
  <c r="E38" i="1"/>
  <c r="E39" i="1"/>
  <c r="E40" i="1"/>
  <c r="E41" i="1"/>
  <c r="E42" i="1"/>
  <c r="E31" i="1"/>
  <c r="D32" i="1"/>
  <c r="D33" i="1"/>
  <c r="D34" i="1"/>
  <c r="D35" i="1"/>
  <c r="D36" i="1"/>
  <c r="D37" i="1"/>
  <c r="D38" i="1"/>
  <c r="D39" i="1"/>
  <c r="D40" i="1"/>
  <c r="D41" i="1"/>
  <c r="D42" i="1"/>
  <c r="D31" i="1"/>
  <c r="J32" i="1"/>
  <c r="J33" i="1"/>
  <c r="J34" i="1"/>
  <c r="J35" i="1"/>
  <c r="J36" i="1"/>
  <c r="J37" i="1"/>
  <c r="J38" i="1"/>
  <c r="J39" i="1"/>
  <c r="J40" i="1"/>
  <c r="J41" i="1"/>
  <c r="J42" i="1"/>
  <c r="J31" i="1"/>
  <c r="C15" i="1"/>
  <c r="C13" i="1"/>
  <c r="S86" i="1"/>
  <c r="S87" i="1"/>
  <c r="S88" i="1"/>
  <c r="S89" i="1"/>
  <c r="S90" i="1"/>
  <c r="S91" i="1"/>
  <c r="S92" i="1"/>
  <c r="S93" i="1"/>
  <c r="S94" i="1"/>
  <c r="S95" i="1"/>
  <c r="S96" i="1"/>
  <c r="AB96" i="1"/>
  <c r="AA96" i="1"/>
  <c r="Z96" i="1"/>
  <c r="Y96" i="1"/>
  <c r="X96" i="1"/>
  <c r="W96" i="1"/>
  <c r="V96" i="1"/>
  <c r="U96" i="1"/>
  <c r="T96" i="1"/>
  <c r="D96" i="1"/>
  <c r="E96" i="1" s="1"/>
  <c r="AB95" i="1"/>
  <c r="AA95" i="1"/>
  <c r="Z95" i="1"/>
  <c r="Y95" i="1"/>
  <c r="X95" i="1"/>
  <c r="W95" i="1"/>
  <c r="V95" i="1"/>
  <c r="U95" i="1"/>
  <c r="T95" i="1"/>
  <c r="D95" i="1"/>
  <c r="E95" i="1" s="1"/>
  <c r="AB94" i="1"/>
  <c r="AA94" i="1"/>
  <c r="Z94" i="1"/>
  <c r="Y94" i="1"/>
  <c r="X94" i="1"/>
  <c r="W94" i="1"/>
  <c r="V94" i="1"/>
  <c r="U94" i="1"/>
  <c r="T94" i="1"/>
  <c r="D94" i="1"/>
  <c r="E94" i="1" s="1"/>
  <c r="AB93" i="1"/>
  <c r="AA93" i="1"/>
  <c r="Z93" i="1"/>
  <c r="Y93" i="1"/>
  <c r="X93" i="1"/>
  <c r="W93" i="1"/>
  <c r="V93" i="1"/>
  <c r="U93" i="1"/>
  <c r="T93" i="1"/>
  <c r="D93" i="1"/>
  <c r="E93" i="1" s="1"/>
  <c r="AB92" i="1"/>
  <c r="AA92" i="1"/>
  <c r="Z92" i="1"/>
  <c r="Y92" i="1"/>
  <c r="X92" i="1"/>
  <c r="W92" i="1"/>
  <c r="V92" i="1"/>
  <c r="U92" i="1"/>
  <c r="T92" i="1"/>
  <c r="D92" i="1"/>
  <c r="E92" i="1" s="1"/>
  <c r="AB91" i="1"/>
  <c r="AA91" i="1"/>
  <c r="Z91" i="1"/>
  <c r="Y91" i="1"/>
  <c r="X91" i="1"/>
  <c r="W91" i="1"/>
  <c r="V91" i="1"/>
  <c r="U91" i="1"/>
  <c r="T91" i="1"/>
  <c r="D91" i="1"/>
  <c r="E91" i="1" s="1"/>
  <c r="AB90" i="1"/>
  <c r="AA90" i="1"/>
  <c r="Z90" i="1"/>
  <c r="Y90" i="1"/>
  <c r="X90" i="1"/>
  <c r="W90" i="1"/>
  <c r="V90" i="1"/>
  <c r="U90" i="1"/>
  <c r="T90" i="1"/>
  <c r="E90" i="1"/>
  <c r="AB89" i="1"/>
  <c r="AA89" i="1"/>
  <c r="Z89" i="1"/>
  <c r="Y89" i="1"/>
  <c r="X89" i="1"/>
  <c r="W89" i="1"/>
  <c r="V89" i="1"/>
  <c r="U89" i="1"/>
  <c r="T89" i="1"/>
  <c r="D89" i="1"/>
  <c r="E89" i="1" s="1"/>
  <c r="AB88" i="1"/>
  <c r="AA88" i="1"/>
  <c r="Z88" i="1"/>
  <c r="Y88" i="1"/>
  <c r="X88" i="1"/>
  <c r="W88" i="1"/>
  <c r="V88" i="1"/>
  <c r="U88" i="1"/>
  <c r="T88" i="1"/>
  <c r="D88" i="1"/>
  <c r="E88" i="1" s="1"/>
  <c r="AB87" i="1"/>
  <c r="AA87" i="1"/>
  <c r="Z87" i="1"/>
  <c r="Y87" i="1"/>
  <c r="X87" i="1"/>
  <c r="W87" i="1"/>
  <c r="V87" i="1"/>
  <c r="U87" i="1"/>
  <c r="T87" i="1"/>
  <c r="D87" i="1"/>
  <c r="E87" i="1" s="1"/>
  <c r="AB86" i="1"/>
  <c r="AA86" i="1"/>
  <c r="Z86" i="1"/>
  <c r="Y86" i="1"/>
  <c r="X86" i="1"/>
  <c r="W86" i="1"/>
  <c r="V86" i="1"/>
  <c r="U86" i="1"/>
  <c r="T86" i="1"/>
  <c r="D86" i="1"/>
  <c r="E86" i="1" s="1"/>
  <c r="AB85" i="1"/>
  <c r="AA85" i="1"/>
  <c r="Z85" i="1"/>
  <c r="C14" i="1" s="1"/>
  <c r="Y85" i="1"/>
  <c r="C10" i="1" s="1"/>
  <c r="X85" i="1"/>
  <c r="W85" i="1"/>
  <c r="C12" i="1" s="1"/>
  <c r="V85" i="1"/>
  <c r="U85" i="1"/>
  <c r="C16" i="1" s="1"/>
  <c r="T85" i="1"/>
  <c r="C17" i="1" s="1"/>
  <c r="S85" i="1"/>
  <c r="D85" i="1"/>
  <c r="E85" i="1" s="1"/>
  <c r="S98" i="1"/>
  <c r="F101" i="1" s="1"/>
  <c r="T84" i="1"/>
  <c r="U84" i="1"/>
  <c r="V84" i="1"/>
  <c r="W84" i="1"/>
  <c r="X84" i="1"/>
  <c r="Y84" i="1"/>
  <c r="Z84" i="1"/>
  <c r="AA84" i="1"/>
  <c r="AB84" i="1"/>
  <c r="S84" i="1"/>
  <c r="T83" i="1"/>
  <c r="U83" i="1"/>
  <c r="V83" i="1"/>
  <c r="W83" i="1"/>
  <c r="X83" i="1"/>
  <c r="Y83" i="1"/>
  <c r="Z83" i="1"/>
  <c r="AA83" i="1"/>
  <c r="AB83" i="1"/>
  <c r="S83" i="1"/>
  <c r="T82" i="1"/>
  <c r="U82" i="1"/>
  <c r="V82" i="1"/>
  <c r="W82" i="1"/>
  <c r="X82" i="1"/>
  <c r="Y82" i="1"/>
  <c r="Z82" i="1"/>
  <c r="AA82" i="1"/>
  <c r="AB82" i="1"/>
  <c r="S82" i="1"/>
  <c r="T81" i="1"/>
  <c r="U81" i="1"/>
  <c r="V81" i="1"/>
  <c r="W81" i="1"/>
  <c r="X81" i="1"/>
  <c r="Y81" i="1"/>
  <c r="Z81" i="1"/>
  <c r="AA81" i="1"/>
  <c r="AB81" i="1"/>
  <c r="S81" i="1"/>
  <c r="T80" i="1"/>
  <c r="U80" i="1"/>
  <c r="V80" i="1"/>
  <c r="W80" i="1"/>
  <c r="X80" i="1"/>
  <c r="Y80" i="1"/>
  <c r="Z80" i="1"/>
  <c r="AA80" i="1"/>
  <c r="AB80" i="1"/>
  <c r="S80" i="1"/>
  <c r="T79" i="1"/>
  <c r="U79" i="1"/>
  <c r="V79" i="1"/>
  <c r="W79" i="1"/>
  <c r="X79" i="1"/>
  <c r="Y79" i="1"/>
  <c r="Z79" i="1"/>
  <c r="AA79" i="1"/>
  <c r="AB79" i="1"/>
  <c r="S79" i="1"/>
  <c r="T78" i="1"/>
  <c r="U78" i="1"/>
  <c r="V78" i="1"/>
  <c r="W78" i="1"/>
  <c r="X78" i="1"/>
  <c r="Y78" i="1"/>
  <c r="Z78" i="1"/>
  <c r="AA78" i="1"/>
  <c r="AB78" i="1"/>
  <c r="S78" i="1"/>
  <c r="T77" i="1"/>
  <c r="U77" i="1"/>
  <c r="V77" i="1"/>
  <c r="W77" i="1"/>
  <c r="X77" i="1"/>
  <c r="Y77" i="1"/>
  <c r="Z77" i="1"/>
  <c r="AA77" i="1"/>
  <c r="AB77" i="1"/>
  <c r="S77" i="1"/>
  <c r="T76" i="1"/>
  <c r="U76" i="1"/>
  <c r="V76" i="1"/>
  <c r="W76" i="1"/>
  <c r="X76" i="1"/>
  <c r="Y76" i="1"/>
  <c r="Z76" i="1"/>
  <c r="AA76" i="1"/>
  <c r="AB76" i="1"/>
  <c r="S76" i="1"/>
  <c r="T75" i="1"/>
  <c r="U75" i="1"/>
  <c r="V75" i="1"/>
  <c r="W75" i="1"/>
  <c r="X75" i="1"/>
  <c r="Y75" i="1"/>
  <c r="Z75" i="1"/>
  <c r="AA75" i="1"/>
  <c r="AB75" i="1"/>
  <c r="S75" i="1"/>
  <c r="T74" i="1"/>
  <c r="U74" i="1"/>
  <c r="V74" i="1"/>
  <c r="W74" i="1"/>
  <c r="X74" i="1"/>
  <c r="Y74" i="1"/>
  <c r="Z74" i="1"/>
  <c r="AA74" i="1"/>
  <c r="AB74" i="1"/>
  <c r="S74" i="1"/>
  <c r="T73" i="1"/>
  <c r="U73" i="1"/>
  <c r="V73" i="1"/>
  <c r="W73" i="1"/>
  <c r="X73" i="1"/>
  <c r="Y73" i="1"/>
  <c r="Z73" i="1"/>
  <c r="AA73" i="1"/>
  <c r="AB73" i="1"/>
  <c r="S73" i="1"/>
  <c r="C19" i="1" l="1"/>
  <c r="Z100" i="1"/>
  <c r="M103" i="1" s="1"/>
  <c r="I14" i="1" s="1"/>
  <c r="AB100" i="1"/>
  <c r="O103" i="1" s="1"/>
  <c r="I19" i="1" s="1"/>
  <c r="Y100" i="1"/>
  <c r="L103" i="1" s="1"/>
  <c r="I10" i="1" s="1"/>
  <c r="U100" i="1"/>
  <c r="H103" i="1" s="1"/>
  <c r="I16" i="1" s="1"/>
  <c r="W100" i="1"/>
  <c r="J103" i="1" s="1"/>
  <c r="I12" i="1" s="1"/>
  <c r="V100" i="1"/>
  <c r="I103" i="1" s="1"/>
  <c r="I15" i="1" s="1"/>
  <c r="T100" i="1"/>
  <c r="G103" i="1" s="1"/>
  <c r="I17" i="1" s="1"/>
  <c r="S100" i="1"/>
  <c r="F103" i="1" s="1"/>
  <c r="I18" i="1" s="1"/>
  <c r="W99" i="1"/>
  <c r="J102" i="1" s="1"/>
  <c r="AA99" i="1"/>
  <c r="N102" i="1" s="1"/>
  <c r="V99" i="1"/>
  <c r="I102" i="1" s="1"/>
  <c r="U99" i="1"/>
  <c r="H102" i="1" s="1"/>
  <c r="Z99" i="1"/>
  <c r="M102" i="1" s="1"/>
  <c r="X99" i="1"/>
  <c r="K102" i="1" s="1"/>
  <c r="T99" i="1"/>
  <c r="G102" i="1" s="1"/>
  <c r="Y99" i="1"/>
  <c r="L102" i="1" s="1"/>
  <c r="S99" i="1"/>
  <c r="F102" i="1" s="1"/>
  <c r="J18" i="1" s="1"/>
  <c r="K18" i="1"/>
  <c r="T62" i="1"/>
  <c r="T63" i="1"/>
  <c r="T64" i="1"/>
  <c r="T65" i="1"/>
  <c r="T66" i="1"/>
  <c r="T67" i="1"/>
  <c r="T68" i="1"/>
  <c r="T69" i="1"/>
  <c r="T70" i="1"/>
  <c r="T71" i="1"/>
  <c r="T72" i="1"/>
  <c r="T61" i="1"/>
  <c r="T98" i="1" l="1"/>
  <c r="G101" i="1" s="1"/>
  <c r="K17" i="1" s="1"/>
  <c r="J17" i="1"/>
  <c r="D49" i="1" l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43" i="1" l="1"/>
  <c r="E84" i="1"/>
  <c r="E83" i="1"/>
  <c r="E82" i="1"/>
  <c r="E81" i="1"/>
  <c r="E80" i="1"/>
  <c r="E79" i="1"/>
  <c r="E78" i="1"/>
  <c r="E77" i="1"/>
  <c r="E76" i="1"/>
  <c r="E75" i="1"/>
  <c r="E74" i="1"/>
  <c r="E73" i="1"/>
  <c r="AB72" i="1"/>
  <c r="AA72" i="1"/>
  <c r="Z72" i="1"/>
  <c r="Y72" i="1"/>
  <c r="X72" i="1"/>
  <c r="W72" i="1"/>
  <c r="V72" i="1"/>
  <c r="U72" i="1"/>
  <c r="E72" i="1"/>
  <c r="AB71" i="1"/>
  <c r="AA71" i="1"/>
  <c r="Z71" i="1"/>
  <c r="Y71" i="1"/>
  <c r="X71" i="1"/>
  <c r="W71" i="1"/>
  <c r="V71" i="1"/>
  <c r="U71" i="1"/>
  <c r="E71" i="1"/>
  <c r="AB70" i="1"/>
  <c r="AA70" i="1"/>
  <c r="Z70" i="1"/>
  <c r="Y70" i="1"/>
  <c r="X70" i="1"/>
  <c r="W70" i="1"/>
  <c r="V70" i="1"/>
  <c r="U70" i="1"/>
  <c r="E70" i="1"/>
  <c r="AB69" i="1"/>
  <c r="AA69" i="1"/>
  <c r="Z69" i="1"/>
  <c r="Y69" i="1"/>
  <c r="X69" i="1"/>
  <c r="W69" i="1"/>
  <c r="V69" i="1"/>
  <c r="U69" i="1"/>
  <c r="E69" i="1"/>
  <c r="AB68" i="1"/>
  <c r="AA68" i="1"/>
  <c r="Z68" i="1"/>
  <c r="Y68" i="1"/>
  <c r="X68" i="1"/>
  <c r="W68" i="1"/>
  <c r="V68" i="1"/>
  <c r="U68" i="1"/>
  <c r="E68" i="1"/>
  <c r="AB67" i="1"/>
  <c r="AA67" i="1"/>
  <c r="Z67" i="1"/>
  <c r="Y67" i="1"/>
  <c r="X67" i="1"/>
  <c r="W67" i="1"/>
  <c r="V67" i="1"/>
  <c r="U67" i="1"/>
  <c r="E67" i="1"/>
  <c r="AB66" i="1"/>
  <c r="AA66" i="1"/>
  <c r="Z66" i="1"/>
  <c r="Y66" i="1"/>
  <c r="X66" i="1"/>
  <c r="W66" i="1"/>
  <c r="V66" i="1"/>
  <c r="U66" i="1"/>
  <c r="E66" i="1"/>
  <c r="AB65" i="1"/>
  <c r="AA65" i="1"/>
  <c r="Z65" i="1"/>
  <c r="Y65" i="1"/>
  <c r="X65" i="1"/>
  <c r="W65" i="1"/>
  <c r="V65" i="1"/>
  <c r="U65" i="1"/>
  <c r="E65" i="1"/>
  <c r="AB64" i="1"/>
  <c r="AA64" i="1"/>
  <c r="Z64" i="1"/>
  <c r="Y64" i="1"/>
  <c r="X64" i="1"/>
  <c r="W64" i="1"/>
  <c r="V64" i="1"/>
  <c r="U64" i="1"/>
  <c r="E64" i="1"/>
  <c r="AB63" i="1"/>
  <c r="AA63" i="1"/>
  <c r="Z63" i="1"/>
  <c r="Y63" i="1"/>
  <c r="X63" i="1"/>
  <c r="W63" i="1"/>
  <c r="V63" i="1"/>
  <c r="U63" i="1"/>
  <c r="E63" i="1"/>
  <c r="AB62" i="1"/>
  <c r="AA62" i="1"/>
  <c r="Z62" i="1"/>
  <c r="Y62" i="1"/>
  <c r="X62" i="1"/>
  <c r="W62" i="1"/>
  <c r="V62" i="1"/>
  <c r="U62" i="1"/>
  <c r="E62" i="1"/>
  <c r="AB61" i="1"/>
  <c r="AA61" i="1"/>
  <c r="Z61" i="1"/>
  <c r="Y61" i="1"/>
  <c r="X61" i="1"/>
  <c r="W61" i="1"/>
  <c r="V61" i="1"/>
  <c r="U61" i="1"/>
  <c r="E61" i="1"/>
  <c r="AB60" i="1"/>
  <c r="AA60" i="1"/>
  <c r="Z60" i="1"/>
  <c r="Y60" i="1"/>
  <c r="X60" i="1"/>
  <c r="W60" i="1"/>
  <c r="V60" i="1"/>
  <c r="U60" i="1"/>
  <c r="T60" i="1"/>
  <c r="S60" i="1"/>
  <c r="E60" i="1"/>
  <c r="AB59" i="1"/>
  <c r="AA59" i="1"/>
  <c r="Z59" i="1"/>
  <c r="Y59" i="1"/>
  <c r="X59" i="1"/>
  <c r="W59" i="1"/>
  <c r="V59" i="1"/>
  <c r="U59" i="1"/>
  <c r="T59" i="1"/>
  <c r="S59" i="1"/>
  <c r="E59" i="1"/>
  <c r="AB58" i="1"/>
  <c r="AA58" i="1"/>
  <c r="Z58" i="1"/>
  <c r="Y58" i="1"/>
  <c r="X58" i="1"/>
  <c r="W58" i="1"/>
  <c r="V58" i="1"/>
  <c r="U58" i="1"/>
  <c r="T58" i="1"/>
  <c r="S58" i="1"/>
  <c r="E58" i="1"/>
  <c r="AB57" i="1"/>
  <c r="AA57" i="1"/>
  <c r="Z57" i="1"/>
  <c r="Y57" i="1"/>
  <c r="X57" i="1"/>
  <c r="W57" i="1"/>
  <c r="V57" i="1"/>
  <c r="U57" i="1"/>
  <c r="T57" i="1"/>
  <c r="S57" i="1"/>
  <c r="E57" i="1"/>
  <c r="AB56" i="1"/>
  <c r="AA56" i="1"/>
  <c r="Z56" i="1"/>
  <c r="Y56" i="1"/>
  <c r="X56" i="1"/>
  <c r="W56" i="1"/>
  <c r="V56" i="1"/>
  <c r="U56" i="1"/>
  <c r="T56" i="1"/>
  <c r="S56" i="1"/>
  <c r="E56" i="1"/>
  <c r="AB55" i="1"/>
  <c r="AA55" i="1"/>
  <c r="Z55" i="1"/>
  <c r="Y55" i="1"/>
  <c r="X55" i="1"/>
  <c r="W55" i="1"/>
  <c r="V55" i="1"/>
  <c r="U55" i="1"/>
  <c r="T55" i="1"/>
  <c r="S55" i="1"/>
  <c r="E55" i="1"/>
  <c r="AB54" i="1"/>
  <c r="AA54" i="1"/>
  <c r="Z54" i="1"/>
  <c r="Y54" i="1"/>
  <c r="X54" i="1"/>
  <c r="W54" i="1"/>
  <c r="V54" i="1"/>
  <c r="U54" i="1"/>
  <c r="T54" i="1"/>
  <c r="S54" i="1"/>
  <c r="E54" i="1"/>
  <c r="AB53" i="1"/>
  <c r="AA53" i="1"/>
  <c r="Z53" i="1"/>
  <c r="Y53" i="1"/>
  <c r="X53" i="1"/>
  <c r="W53" i="1"/>
  <c r="V53" i="1"/>
  <c r="U53" i="1"/>
  <c r="T53" i="1"/>
  <c r="S53" i="1"/>
  <c r="E53" i="1"/>
  <c r="AB52" i="1"/>
  <c r="AA52" i="1"/>
  <c r="Z52" i="1"/>
  <c r="Y52" i="1"/>
  <c r="X52" i="1"/>
  <c r="W52" i="1"/>
  <c r="V52" i="1"/>
  <c r="U52" i="1"/>
  <c r="T52" i="1"/>
  <c r="S52" i="1"/>
  <c r="E52" i="1"/>
  <c r="AB51" i="1"/>
  <c r="AA51" i="1"/>
  <c r="Z51" i="1"/>
  <c r="Y51" i="1"/>
  <c r="X51" i="1"/>
  <c r="W51" i="1"/>
  <c r="V51" i="1"/>
  <c r="U51" i="1"/>
  <c r="T51" i="1"/>
  <c r="S51" i="1"/>
  <c r="E51" i="1"/>
  <c r="AB50" i="1"/>
  <c r="AA50" i="1"/>
  <c r="Z50" i="1"/>
  <c r="Y50" i="1"/>
  <c r="X50" i="1"/>
  <c r="W50" i="1"/>
  <c r="V50" i="1"/>
  <c r="U50" i="1"/>
  <c r="T50" i="1"/>
  <c r="S50" i="1"/>
  <c r="E50" i="1"/>
  <c r="AB49" i="1"/>
  <c r="AA49" i="1"/>
  <c r="Z49" i="1"/>
  <c r="Y49" i="1"/>
  <c r="X49" i="1"/>
  <c r="W49" i="1"/>
  <c r="V49" i="1"/>
  <c r="U49" i="1"/>
  <c r="T49" i="1"/>
  <c r="S49" i="1"/>
  <c r="E49" i="1"/>
  <c r="K42" i="1"/>
  <c r="L42" i="1" s="1"/>
  <c r="K41" i="1"/>
  <c r="L41" i="1" s="1"/>
  <c r="K40" i="1"/>
  <c r="L40" i="1" s="1"/>
  <c r="K39" i="1"/>
  <c r="L39" i="1" s="1"/>
  <c r="K38" i="1"/>
  <c r="K37" i="1"/>
  <c r="K35" i="1"/>
  <c r="K34" i="1"/>
  <c r="K33" i="1"/>
  <c r="K32" i="1"/>
  <c r="U97" i="1" l="1"/>
  <c r="AA98" i="1"/>
  <c r="N101" i="1" s="1"/>
  <c r="K13" i="1" s="1"/>
  <c r="Z98" i="1"/>
  <c r="M101" i="1" s="1"/>
  <c r="K14" i="1" s="1"/>
  <c r="W97" i="1"/>
  <c r="Y98" i="1"/>
  <c r="L101" i="1" s="1"/>
  <c r="K10" i="1" s="1"/>
  <c r="AA97" i="1"/>
  <c r="AA100" i="1" s="1"/>
  <c r="N103" i="1" s="1"/>
  <c r="I13" i="1" s="1"/>
  <c r="U98" i="1"/>
  <c r="H101" i="1" s="1"/>
  <c r="K16" i="1" s="1"/>
  <c r="X97" i="1"/>
  <c r="X100" i="1" s="1"/>
  <c r="K103" i="1" s="1"/>
  <c r="I11" i="1" s="1"/>
  <c r="Y97" i="1"/>
  <c r="Z97" i="1"/>
  <c r="V98" i="1"/>
  <c r="I101" i="1" s="1"/>
  <c r="K15" i="1" s="1"/>
  <c r="W98" i="1"/>
  <c r="J101" i="1" s="1"/>
  <c r="K12" i="1" s="1"/>
  <c r="V97" i="1"/>
  <c r="X98" i="1"/>
  <c r="K101" i="1" s="1"/>
  <c r="K11" i="1" s="1"/>
  <c r="J10" i="1"/>
  <c r="J11" i="1"/>
  <c r="J14" i="1"/>
  <c r="J15" i="1"/>
  <c r="J13" i="1"/>
  <c r="J12" i="1"/>
  <c r="AB99" i="1"/>
  <c r="J16" i="1"/>
  <c r="AB98" i="1"/>
  <c r="F39" i="1"/>
  <c r="F41" i="1"/>
  <c r="F35" i="1"/>
  <c r="E43" i="1"/>
  <c r="K43" i="1" s="1"/>
  <c r="F36" i="1"/>
  <c r="K36" i="1"/>
  <c r="F32" i="1"/>
  <c r="F37" i="1"/>
  <c r="F40" i="1"/>
  <c r="AB97" i="1"/>
  <c r="K31" i="1"/>
  <c r="L31" i="1" s="1"/>
  <c r="F34" i="1"/>
  <c r="F38" i="1"/>
  <c r="F42" i="1"/>
  <c r="J43" i="1"/>
  <c r="F33" i="1"/>
  <c r="F31" i="1"/>
  <c r="O102" i="1" l="1"/>
  <c r="J19" i="1" s="1"/>
  <c r="O101" i="1"/>
  <c r="K19" i="1" s="1"/>
  <c r="G31" i="1"/>
  <c r="N31" i="1"/>
</calcChain>
</file>

<file path=xl/sharedStrings.xml><?xml version="1.0" encoding="utf-8"?>
<sst xmlns="http://schemas.openxmlformats.org/spreadsheetml/2006/main" count="196" uniqueCount="122">
  <si>
    <t>Key Performance Indicator (KPI)</t>
  </si>
  <si>
    <t>Project:</t>
  </si>
  <si>
    <t>Month</t>
  </si>
  <si>
    <t>Achievements / Highlights</t>
  </si>
  <si>
    <t>EHS - Pyramide</t>
  </si>
  <si>
    <t>Number of Workers per Day - Hours Worked per Month</t>
  </si>
  <si>
    <t>Year</t>
  </si>
  <si>
    <t>Employee</t>
  </si>
  <si>
    <t>Hours</t>
  </si>
  <si>
    <t>EHS</t>
  </si>
  <si>
    <r>
      <rPr>
        <sz val="24"/>
        <color theme="1"/>
        <rFont val="Calibri"/>
        <family val="2"/>
        <scheme val="minor"/>
      </rPr>
      <t xml:space="preserve">Lost Time Injury Frequency Rate </t>
    </r>
    <r>
      <rPr>
        <b/>
        <sz val="24"/>
        <color theme="1"/>
        <rFont val="Calibri"/>
        <family val="2"/>
        <scheme val="minor"/>
      </rPr>
      <t>LTIFR</t>
    </r>
  </si>
  <si>
    <r>
      <rPr>
        <sz val="24"/>
        <color theme="1"/>
        <rFont val="Calibri"/>
        <family val="2"/>
        <scheme val="minor"/>
      </rPr>
      <t xml:space="preserve">Total Recordable Injury Rate </t>
    </r>
    <r>
      <rPr>
        <b/>
        <sz val="24"/>
        <color theme="1"/>
        <rFont val="Calibri"/>
        <family val="2"/>
        <scheme val="minor"/>
      </rPr>
      <t>TRIR</t>
    </r>
  </si>
  <si>
    <t>Calculation Rate</t>
  </si>
  <si>
    <r>
      <rPr>
        <b/>
        <sz val="14"/>
        <color rgb="FFFF0000"/>
        <rFont val="Calibri"/>
        <family val="2"/>
        <scheme val="minor"/>
      </rPr>
      <t>LTIFR</t>
    </r>
    <r>
      <rPr>
        <b/>
        <sz val="14"/>
        <color theme="1"/>
        <rFont val="Calibri"/>
        <family val="2"/>
        <scheme val="minor"/>
      </rPr>
      <t xml:space="preserve"> = Total LTI / Total number of hours   x   1.000.000</t>
    </r>
  </si>
  <si>
    <r>
      <rPr>
        <b/>
        <sz val="14"/>
        <color rgb="FFFF0000"/>
        <rFont val="Calibri"/>
        <family val="2"/>
      </rPr>
      <t>TRIR</t>
    </r>
    <r>
      <rPr>
        <b/>
        <sz val="14"/>
        <color rgb="FF000000"/>
        <rFont val="Calibri"/>
        <family val="2"/>
      </rPr>
      <t xml:space="preserve"> = Total Recordable / Total number of hours   x   200.000</t>
    </r>
  </si>
  <si>
    <t>Number LTI</t>
  </si>
  <si>
    <t>Total Number of
work hours</t>
  </si>
  <si>
    <t>LTIFR per month</t>
  </si>
  <si>
    <t>Average LTIFR 
YTD
2024</t>
  </si>
  <si>
    <t>Number
Recordable</t>
  </si>
  <si>
    <t>Total Number of work hours</t>
  </si>
  <si>
    <t>TRIR per month</t>
  </si>
  <si>
    <t>Average TRIR
YTD
2024</t>
  </si>
  <si>
    <t>January</t>
  </si>
  <si>
    <t>Feburay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</si>
  <si>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</si>
  <si>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</si>
  <si>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</si>
  <si>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</si>
  <si>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</si>
  <si>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</si>
  <si>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</si>
  <si>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</si>
  <si>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</si>
  <si>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</si>
  <si>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Datenerfassung zur KPI-Meldung an Projektleitung</t>
  </si>
  <si>
    <t>Eingabe Mann-Tage und Stunden
im Monat gesamt</t>
  </si>
  <si>
    <t xml:space="preserve">Ereignisse </t>
  </si>
  <si>
    <t>Month
Monat</t>
  </si>
  <si>
    <t>Unsafe Condition
unsichere Situation</t>
  </si>
  <si>
    <t>Unsafe Behavior
unsicheres Verhalten</t>
  </si>
  <si>
    <t>NearMiss
Beinahe Unfälle</t>
  </si>
  <si>
    <t>First Aid
Erste Hilfe</t>
  </si>
  <si>
    <t>Rcordable</t>
  </si>
  <si>
    <t>LTI</t>
  </si>
  <si>
    <t>Fatalities
Totesfälle</t>
  </si>
  <si>
    <t>Property Damage
Elementar</t>
  </si>
  <si>
    <t>Enviroment
Umwelt</t>
  </si>
  <si>
    <t>Safety Observation
Sicherheits-Feststellungen</t>
  </si>
  <si>
    <t>ArbTg</t>
  </si>
  <si>
    <t>Monat</t>
  </si>
  <si>
    <t>Workers per Day</t>
  </si>
  <si>
    <t>Hours Ø per Day</t>
  </si>
  <si>
    <t xml:space="preserve">MA </t>
  </si>
  <si>
    <t>Hours total</t>
  </si>
  <si>
    <t>unsichere
Situation</t>
  </si>
  <si>
    <t>unsicheres
Verhalten</t>
  </si>
  <si>
    <t>Near
Miss</t>
  </si>
  <si>
    <t>First
Aid</t>
  </si>
  <si>
    <t>Recordable</t>
  </si>
  <si>
    <t>Lost Time Injury
(LTI)</t>
  </si>
  <si>
    <t>Todesfall</t>
  </si>
  <si>
    <t>Elementar</t>
  </si>
  <si>
    <t>Umwelt</t>
  </si>
  <si>
    <t>Safety Observation</t>
  </si>
  <si>
    <t>January
2022</t>
  </si>
  <si>
    <t>Feburay
2022</t>
  </si>
  <si>
    <t>March
2022</t>
  </si>
  <si>
    <t>April
2022</t>
  </si>
  <si>
    <t>May
2022</t>
  </si>
  <si>
    <t>June
2022</t>
  </si>
  <si>
    <t>July
2022</t>
  </si>
  <si>
    <t>August
2022</t>
  </si>
  <si>
    <t>September
2022</t>
  </si>
  <si>
    <t>October
2022</t>
  </si>
  <si>
    <t>November
2022</t>
  </si>
  <si>
    <t>December
2022</t>
  </si>
  <si>
    <t>January
2023</t>
  </si>
  <si>
    <t>Feburay
2023</t>
  </si>
  <si>
    <t>March
2023</t>
  </si>
  <si>
    <t>April
2023</t>
  </si>
  <si>
    <t>May
2023</t>
  </si>
  <si>
    <t>June
2023</t>
  </si>
  <si>
    <t>July
2023</t>
  </si>
  <si>
    <t>August
2023</t>
  </si>
  <si>
    <t>September
2023</t>
  </si>
  <si>
    <t>October
2023</t>
  </si>
  <si>
    <t>November
2023</t>
  </si>
  <si>
    <t>December
2023</t>
  </si>
  <si>
    <t>January
2024</t>
  </si>
  <si>
    <t>Feburay
2024</t>
  </si>
  <si>
    <t>March
2024</t>
  </si>
  <si>
    <t>April
2024</t>
  </si>
  <si>
    <t>May
2024</t>
  </si>
  <si>
    <t>June
2024</t>
  </si>
  <si>
    <t>July
2024</t>
  </si>
  <si>
    <t>August
2024</t>
  </si>
  <si>
    <t>September
2024</t>
  </si>
  <si>
    <t>October
2024</t>
  </si>
  <si>
    <t>November
2024</t>
  </si>
  <si>
    <t>December
2024</t>
  </si>
  <si>
    <t>January
2025</t>
  </si>
  <si>
    <t>Feburay
2025</t>
  </si>
  <si>
    <t>March
2025</t>
  </si>
  <si>
    <t>April
2025</t>
  </si>
  <si>
    <t>May
2025</t>
  </si>
  <si>
    <t>June
2025</t>
  </si>
  <si>
    <t>July
2025</t>
  </si>
  <si>
    <t>August
2025</t>
  </si>
  <si>
    <t>September
2025</t>
  </si>
  <si>
    <t>October
2025</t>
  </si>
  <si>
    <t>November
2025</t>
  </si>
  <si>
    <t>December
2025</t>
  </si>
  <si>
    <t>Total 2022</t>
  </si>
  <si>
    <t>Total 2023</t>
  </si>
  <si>
    <t>Total 2024</t>
  </si>
  <si>
    <t>Total 2025</t>
  </si>
  <si>
    <t xml:space="preserve">Total 2023
EHS </t>
  </si>
  <si>
    <t xml:space="preserve">Total 2024
EHS </t>
  </si>
  <si>
    <t xml:space="preserve">Total 2025
EHS </t>
  </si>
  <si>
    <r>
      <t>Zwischenfälle
-</t>
    </r>
    <r>
      <rPr>
        <sz val="20"/>
        <color theme="1"/>
        <rFont val="Calibri"/>
        <family val="2"/>
        <scheme val="minor"/>
      </rPr>
      <t xml:space="preserve"> 1x Augenverletzung (EHS-Ereignis 2025-75)</t>
    </r>
    <r>
      <rPr>
        <b/>
        <sz val="20"/>
        <color theme="1"/>
        <rFont val="Calibri"/>
        <family val="2"/>
        <scheme val="minor"/>
      </rPr>
      <t xml:space="preserve">
</t>
    </r>
    <r>
      <rPr>
        <sz val="20"/>
        <color theme="1"/>
        <rFont val="Calibri"/>
        <family val="2"/>
        <scheme val="minor"/>
      </rPr>
      <t xml:space="preserve">- mehrere Alarme im Projektbereich 
</t>
    </r>
    <r>
      <rPr>
        <b/>
        <sz val="20"/>
        <color theme="1"/>
        <rFont val="Calibri"/>
        <family val="2"/>
        <scheme val="minor"/>
      </rPr>
      <t xml:space="preserve">
Konzequenzen
</t>
    </r>
    <r>
      <rPr>
        <sz val="20"/>
        <color theme="1"/>
        <rFont val="Calibri"/>
        <family val="2"/>
        <scheme val="minor"/>
      </rPr>
      <t xml:space="preserve">- 2x Umgang mit Hubarbeitsbühne 
- 4x Schutzbrille
</t>
    </r>
    <r>
      <rPr>
        <b/>
        <sz val="20"/>
        <color theme="1"/>
        <rFont val="Calibri"/>
        <family val="2"/>
        <scheme val="minor"/>
      </rPr>
      <t xml:space="preserve">Hot Topics
</t>
    </r>
    <r>
      <rPr>
        <sz val="20"/>
        <color theme="1"/>
        <rFont val="Calibri"/>
        <family val="2"/>
        <scheme val="minor"/>
      </rPr>
      <t xml:space="preserve">
- Erfassung Gefahrstoffe
</t>
    </r>
    <r>
      <rPr>
        <b/>
        <sz val="20"/>
        <color theme="1"/>
        <rFont val="Calibri"/>
        <family val="2"/>
        <scheme val="minor"/>
      </rPr>
      <t>Safety Award</t>
    </r>
    <r>
      <rPr>
        <sz val="20"/>
        <color theme="1"/>
        <rFont val="Calibri"/>
        <family val="2"/>
        <scheme val="minor"/>
      </rPr>
      <t xml:space="preserve">
Firma des Monats =  n.n
 </t>
    </r>
    <r>
      <rPr>
        <b/>
        <sz val="20"/>
        <color theme="1"/>
        <rFont val="Calibri"/>
        <family val="2"/>
        <scheme val="minor"/>
      </rPr>
      <t xml:space="preserve">
- 91 % Closingrate
                                        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</si>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</sst>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809]mmmm\ yyyy;@"/>
    <numFmt numFmtId="165" formatCode="mmm\ yyyy"/>
    <numFmt numFmtId="166" formatCode="mmmm"/>
    <numFmt numFmtId="167" formatCode="mmmm\ yyyy"/>
  </numFmts>
  <fonts count="3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/>
      <diagonal/>
    </border>
    <border>
      <left style="medium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5" fillId="0" borderId="0"/>
  </cellStyleXfs>
  <cellXfs count="33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right" vertical="center" indent="1"/>
    </xf>
    <xf numFmtId="165" fontId="6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 applyProtection="1">
      <alignment horizontal="left" vertical="center" indent="1"/>
      <protection locked="0"/>
    </xf>
    <xf numFmtId="0" fontId="9" fillId="0" borderId="0" xfId="0" applyFont="1"/>
    <xf numFmtId="0" fontId="8" fillId="0" borderId="0" xfId="0" applyFont="1" applyAlignment="1">
      <alignment horizontal="right" vertical="center" indent="1"/>
    </xf>
    <xf numFmtId="165" fontId="8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right" indent="2"/>
    </xf>
    <xf numFmtId="0" fontId="1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1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165" fontId="12" fillId="0" borderId="0" xfId="0" applyNumberFormat="1" applyFont="1" applyAlignment="1">
      <alignment vertical="center" textRotation="90"/>
    </xf>
    <xf numFmtId="0" fontId="12" fillId="0" borderId="0" xfId="0" applyFont="1" applyAlignment="1">
      <alignment vertical="center" textRotation="90"/>
    </xf>
    <xf numFmtId="0" fontId="6" fillId="0" borderId="0" xfId="0" applyFont="1"/>
    <xf numFmtId="3" fontId="6" fillId="0" borderId="0" xfId="0" applyNumberFormat="1" applyFont="1" applyAlignment="1">
      <alignment horizontal="right" vertical="center"/>
    </xf>
    <xf numFmtId="0" fontId="10" fillId="0" borderId="0" xfId="0" applyFont="1" applyAlignment="1" applyProtection="1">
      <alignment vertical="center" wrapText="1"/>
      <protection locked="0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0" fillId="3" borderId="8" xfId="0" applyFont="1" applyFill="1" applyBorder="1" applyAlignment="1" applyProtection="1">
      <alignment vertical="center" wrapText="1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0" fontId="10" fillId="3" borderId="9" xfId="0" applyFont="1" applyFill="1" applyBorder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top" wrapText="1"/>
      <protection locked="0"/>
    </xf>
    <xf numFmtId="0" fontId="4" fillId="0" borderId="0" xfId="0" applyFont="1" applyAlignment="1">
      <alignment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66" fontId="11" fillId="0" borderId="18" xfId="0" applyNumberFormat="1" applyFont="1" applyBorder="1" applyAlignment="1">
      <alignment horizontal="left" vertical="center" indent="1"/>
    </xf>
    <xf numFmtId="1" fontId="11" fillId="0" borderId="24" xfId="0" applyNumberFormat="1" applyFont="1" applyBorder="1" applyAlignment="1" applyProtection="1">
      <alignment horizontal="center" vertical="center"/>
      <protection locked="0"/>
    </xf>
    <xf numFmtId="3" fontId="11" fillId="0" borderId="20" xfId="0" applyNumberFormat="1" applyFont="1" applyBorder="1" applyAlignment="1" applyProtection="1">
      <alignment horizontal="center" vertical="center"/>
      <protection locked="0"/>
    </xf>
    <xf numFmtId="2" fontId="18" fillId="4" borderId="19" xfId="0" applyNumberFormat="1" applyFont="1" applyFill="1" applyBorder="1" applyAlignment="1">
      <alignment horizontal="center" vertical="center"/>
    </xf>
    <xf numFmtId="166" fontId="11" fillId="0" borderId="27" xfId="0" applyNumberFormat="1" applyFont="1" applyBorder="1" applyAlignment="1">
      <alignment horizontal="left" vertical="center" indent="1"/>
    </xf>
    <xf numFmtId="2" fontId="18" fillId="4" borderId="29" xfId="0" applyNumberFormat="1" applyFont="1" applyFill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9" fillId="0" borderId="0" xfId="0" applyNumberFormat="1" applyFont="1" applyAlignment="1" applyProtection="1">
      <alignment horizontal="center" vertical="center"/>
      <protection locked="0"/>
    </xf>
    <xf numFmtId="1" fontId="11" fillId="0" borderId="0" xfId="0" applyNumberFormat="1" applyFont="1" applyAlignment="1" applyProtection="1">
      <alignment horizontal="center" vertical="center"/>
      <protection locked="0"/>
    </xf>
    <xf numFmtId="3" fontId="20" fillId="0" borderId="0" xfId="0" applyNumberFormat="1" applyFont="1"/>
    <xf numFmtId="0" fontId="20" fillId="0" borderId="0" xfId="0" applyFont="1"/>
    <xf numFmtId="0" fontId="21" fillId="0" borderId="0" xfId="0" applyFont="1" applyAlignment="1">
      <alignment horizontal="left" vertical="center" wrapText="1"/>
    </xf>
    <xf numFmtId="167" fontId="22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vertical="center"/>
    </xf>
    <xf numFmtId="0" fontId="2" fillId="0" borderId="20" xfId="0" applyFont="1" applyBorder="1" applyAlignment="1">
      <alignment horizontal="center" vertical="center"/>
    </xf>
    <xf numFmtId="166" fontId="2" fillId="0" borderId="46" xfId="0" applyNumberFormat="1" applyFont="1" applyBorder="1" applyAlignment="1">
      <alignment horizontal="left" vertical="center" wrapText="1" indent="1"/>
    </xf>
    <xf numFmtId="1" fontId="0" fillId="10" borderId="36" xfId="0" applyNumberFormat="1" applyFill="1" applyBorder="1" applyAlignment="1">
      <alignment horizontal="center" vertical="center"/>
    </xf>
    <xf numFmtId="3" fontId="2" fillId="10" borderId="19" xfId="0" applyNumberFormat="1" applyFont="1" applyFill="1" applyBorder="1" applyAlignment="1">
      <alignment horizontal="center" vertical="center"/>
    </xf>
    <xf numFmtId="1" fontId="0" fillId="10" borderId="24" xfId="0" applyNumberFormat="1" applyFill="1" applyBorder="1" applyAlignment="1" applyProtection="1">
      <alignment horizontal="center" vertical="center"/>
      <protection locked="0"/>
    </xf>
    <xf numFmtId="1" fontId="0" fillId="10" borderId="20" xfId="0" applyNumberFormat="1" applyFill="1" applyBorder="1" applyAlignment="1" applyProtection="1">
      <alignment horizontal="center" vertical="center"/>
      <protection locked="0"/>
    </xf>
    <xf numFmtId="0" fontId="0" fillId="10" borderId="19" xfId="0" applyFill="1" applyBorder="1" applyAlignment="1" applyProtection="1">
      <alignment horizontal="center" vertical="center"/>
      <protection locked="0"/>
    </xf>
    <xf numFmtId="1" fontId="0" fillId="10" borderId="36" xfId="0" applyNumberFormat="1" applyFill="1" applyBorder="1" applyAlignment="1" applyProtection="1">
      <alignment horizontal="center" vertical="center"/>
      <protection locked="0"/>
    </xf>
    <xf numFmtId="166" fontId="11" fillId="0" borderId="24" xfId="0" applyNumberFormat="1" applyFont="1" applyBorder="1" applyAlignment="1">
      <alignment horizontal="left" vertical="center" indent="1"/>
    </xf>
    <xf numFmtId="1" fontId="11" fillId="0" borderId="20" xfId="0" applyNumberFormat="1" applyFont="1" applyBorder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vertical="center"/>
    </xf>
    <xf numFmtId="1" fontId="26" fillId="0" borderId="0" xfId="0" applyNumberFormat="1" applyFont="1" applyAlignment="1">
      <alignment horizontal="center" vertical="center"/>
    </xf>
    <xf numFmtId="166" fontId="2" fillId="0" borderId="24" xfId="0" applyNumberFormat="1" applyFont="1" applyBorder="1" applyAlignment="1">
      <alignment horizontal="left" vertical="center" wrapText="1" indent="1"/>
    </xf>
    <xf numFmtId="0" fontId="0" fillId="10" borderId="20" xfId="0" applyFill="1" applyBorder="1" applyAlignment="1" applyProtection="1">
      <alignment horizontal="center" vertical="center"/>
      <protection locked="0"/>
    </xf>
    <xf numFmtId="0" fontId="0" fillId="10" borderId="36" xfId="0" applyFill="1" applyBorder="1" applyAlignment="1" applyProtection="1">
      <alignment horizontal="center" vertical="center"/>
      <protection locked="0"/>
    </xf>
    <xf numFmtId="1" fontId="26" fillId="0" borderId="0" xfId="0" applyNumberFormat="1" applyFont="1"/>
    <xf numFmtId="0" fontId="24" fillId="0" borderId="20" xfId="1" applyFont="1" applyBorder="1" applyAlignment="1">
      <alignment horizontal="center" vertical="center" wrapText="1"/>
    </xf>
    <xf numFmtId="0" fontId="0" fillId="10" borderId="24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0" fillId="10" borderId="24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1" fontId="0" fillId="10" borderId="20" xfId="0" applyNumberFormat="1" applyFill="1" applyBorder="1" applyAlignment="1">
      <alignment horizontal="center" vertical="center"/>
    </xf>
    <xf numFmtId="166" fontId="2" fillId="0" borderId="42" xfId="0" applyNumberFormat="1" applyFont="1" applyBorder="1" applyAlignment="1">
      <alignment horizontal="left" vertical="center" wrapText="1" indent="1"/>
    </xf>
    <xf numFmtId="1" fontId="0" fillId="10" borderId="41" xfId="0" applyNumberFormat="1" applyFill="1" applyBorder="1" applyAlignment="1">
      <alignment horizontal="center" vertical="center"/>
    </xf>
    <xf numFmtId="3" fontId="2" fillId="10" borderId="29" xfId="0" applyNumberFormat="1" applyFon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166" fontId="11" fillId="0" borderId="42" xfId="0" applyNumberFormat="1" applyFont="1" applyBorder="1" applyAlignment="1">
      <alignment horizontal="left" vertical="center" indent="1"/>
    </xf>
    <xf numFmtId="1" fontId="11" fillId="0" borderId="28" xfId="0" applyNumberFormat="1" applyFont="1" applyBorder="1" applyAlignment="1">
      <alignment horizontal="center" vertical="center"/>
    </xf>
    <xf numFmtId="1" fontId="11" fillId="0" borderId="42" xfId="0" applyNumberFormat="1" applyFont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left" vertical="center" wrapText="1" indent="1"/>
    </xf>
    <xf numFmtId="1" fontId="2" fillId="11" borderId="31" xfId="0" applyNumberFormat="1" applyFont="1" applyFill="1" applyBorder="1" applyAlignment="1">
      <alignment horizontal="center" vertical="center"/>
    </xf>
    <xf numFmtId="3" fontId="2" fillId="11" borderId="50" xfId="0" applyNumberFormat="1" applyFont="1" applyFill="1" applyBorder="1" applyAlignment="1">
      <alignment horizontal="center" vertical="center"/>
    </xf>
    <xf numFmtId="1" fontId="0" fillId="11" borderId="31" xfId="0" applyNumberFormat="1" applyFill="1" applyBorder="1" applyAlignment="1" applyProtection="1">
      <alignment horizontal="center" vertical="center"/>
      <protection locked="0"/>
    </xf>
    <xf numFmtId="1" fontId="0" fillId="11" borderId="32" xfId="0" applyNumberFormat="1" applyFill="1" applyBorder="1" applyAlignment="1" applyProtection="1">
      <alignment horizontal="center" vertical="center"/>
      <protection locked="0"/>
    </xf>
    <xf numFmtId="0" fontId="0" fillId="11" borderId="50" xfId="0" applyFill="1" applyBorder="1" applyAlignment="1" applyProtection="1">
      <alignment horizontal="center" vertical="center"/>
      <protection locked="0"/>
    </xf>
    <xf numFmtId="1" fontId="0" fillId="11" borderId="39" xfId="0" applyNumberFormat="1" applyFill="1" applyBorder="1" applyAlignment="1" applyProtection="1">
      <alignment horizontal="center" vertical="center"/>
      <protection locked="0"/>
    </xf>
    <xf numFmtId="1" fontId="0" fillId="11" borderId="37" xfId="0" applyNumberFormat="1" applyFill="1" applyBorder="1" applyAlignment="1" applyProtection="1">
      <alignment horizontal="center" vertical="center"/>
      <protection locked="0"/>
    </xf>
    <xf numFmtId="1" fontId="11" fillId="11" borderId="35" xfId="0" applyNumberFormat="1" applyFont="1" applyFill="1" applyBorder="1" applyAlignment="1">
      <alignment horizontal="center" vertical="center"/>
    </xf>
    <xf numFmtId="1" fontId="11" fillId="11" borderId="53" xfId="0" applyNumberFormat="1" applyFont="1" applyFill="1" applyBorder="1" applyAlignment="1">
      <alignment horizontal="center" vertical="center"/>
    </xf>
    <xf numFmtId="1" fontId="11" fillId="11" borderId="23" xfId="0" applyNumberFormat="1" applyFont="1" applyFill="1" applyBorder="1" applyAlignment="1">
      <alignment horizontal="center" vertical="center"/>
    </xf>
    <xf numFmtId="166" fontId="2" fillId="11" borderId="51" xfId="0" applyNumberFormat="1" applyFont="1" applyFill="1" applyBorder="1" applyAlignment="1">
      <alignment horizontal="left" vertical="center" wrapText="1" indent="1"/>
    </xf>
    <xf numFmtId="1" fontId="2" fillId="11" borderId="47" xfId="0" applyNumberFormat="1" applyFont="1" applyFill="1" applyBorder="1" applyAlignment="1">
      <alignment horizontal="center" vertical="center"/>
    </xf>
    <xf numFmtId="3" fontId="2" fillId="11" borderId="49" xfId="0" applyNumberFormat="1" applyFont="1" applyFill="1" applyBorder="1" applyAlignment="1">
      <alignment horizontal="center" vertical="center"/>
    </xf>
    <xf numFmtId="1" fontId="0" fillId="11" borderId="36" xfId="0" applyNumberFormat="1" applyFill="1" applyBorder="1" applyAlignment="1" applyProtection="1">
      <alignment horizontal="center" vertical="center"/>
      <protection locked="0"/>
    </xf>
    <xf numFmtId="1" fontId="0" fillId="11" borderId="20" xfId="0" applyNumberFormat="1" applyFill="1" applyBorder="1" applyAlignment="1" applyProtection="1">
      <alignment horizontal="center" vertical="center"/>
      <protection locked="0"/>
    </xf>
    <xf numFmtId="0" fontId="0" fillId="11" borderId="19" xfId="0" applyFill="1" applyBorder="1" applyAlignment="1" applyProtection="1">
      <alignment horizontal="center" vertical="center"/>
      <protection locked="0"/>
    </xf>
    <xf numFmtId="1" fontId="11" fillId="11" borderId="20" xfId="0" applyNumberFormat="1" applyFont="1" applyFill="1" applyBorder="1" applyAlignment="1">
      <alignment horizontal="center" vertical="center"/>
    </xf>
    <xf numFmtId="1" fontId="11" fillId="11" borderId="24" xfId="0" applyNumberFormat="1" applyFont="1" applyFill="1" applyBorder="1" applyAlignment="1">
      <alignment horizontal="center" vertical="center"/>
    </xf>
    <xf numFmtId="0" fontId="0" fillId="11" borderId="36" xfId="0" applyFill="1" applyBorder="1" applyAlignment="1" applyProtection="1">
      <alignment horizontal="center" vertical="center"/>
      <protection locked="0"/>
    </xf>
    <xf numFmtId="0" fontId="0" fillId="11" borderId="20" xfId="0" applyFill="1" applyBorder="1" applyAlignment="1" applyProtection="1">
      <alignment horizontal="center" vertical="center"/>
      <protection locked="0"/>
    </xf>
    <xf numFmtId="0" fontId="0" fillId="11" borderId="36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1" fontId="0" fillId="11" borderId="20" xfId="0" applyNumberFormat="1" applyFill="1" applyBorder="1" applyAlignment="1">
      <alignment horizontal="center" vertical="center"/>
    </xf>
    <xf numFmtId="1" fontId="0" fillId="11" borderId="36" xfId="0" applyNumberFormat="1" applyFill="1" applyBorder="1" applyAlignment="1">
      <alignment horizontal="center" vertical="center"/>
    </xf>
    <xf numFmtId="166" fontId="2" fillId="11" borderId="52" xfId="0" applyNumberFormat="1" applyFont="1" applyFill="1" applyBorder="1" applyAlignment="1">
      <alignment horizontal="left" vertical="center" wrapText="1" indent="1"/>
    </xf>
    <xf numFmtId="1" fontId="2" fillId="11" borderId="41" xfId="0" applyNumberFormat="1" applyFont="1" applyFill="1" applyBorder="1" applyAlignment="1">
      <alignment horizontal="center" vertical="center"/>
    </xf>
    <xf numFmtId="0" fontId="0" fillId="11" borderId="41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1" fontId="11" fillId="11" borderId="55" xfId="0" applyNumberFormat="1" applyFont="1" applyFill="1" applyBorder="1" applyAlignment="1">
      <alignment horizontal="center" vertical="center"/>
    </xf>
    <xf numFmtId="1" fontId="11" fillId="11" borderId="56" xfId="0" applyNumberFormat="1" applyFont="1" applyFill="1" applyBorder="1" applyAlignment="1">
      <alignment horizontal="center" vertical="center"/>
    </xf>
    <xf numFmtId="1" fontId="11" fillId="11" borderId="57" xfId="0" applyNumberFormat="1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2" fillId="9" borderId="59" xfId="0" applyFont="1" applyFill="1" applyBorder="1" applyAlignment="1">
      <alignment horizontal="center" vertical="center"/>
    </xf>
    <xf numFmtId="166" fontId="2" fillId="9" borderId="34" xfId="0" applyNumberFormat="1" applyFont="1" applyFill="1" applyBorder="1" applyAlignment="1">
      <alignment horizontal="left" vertical="center" wrapText="1" indent="1"/>
    </xf>
    <xf numFmtId="1" fontId="2" fillId="9" borderId="44" xfId="0" applyNumberFormat="1" applyFont="1" applyFill="1" applyBorder="1" applyAlignment="1">
      <alignment horizontal="center" vertical="center"/>
    </xf>
    <xf numFmtId="3" fontId="2" fillId="9" borderId="45" xfId="0" applyNumberFormat="1" applyFont="1" applyFill="1" applyBorder="1" applyAlignment="1">
      <alignment horizontal="center" vertical="center"/>
    </xf>
    <xf numFmtId="3" fontId="2" fillId="9" borderId="21" xfId="0" applyNumberFormat="1" applyFont="1" applyFill="1" applyBorder="1" applyAlignment="1">
      <alignment horizontal="center" vertical="center"/>
    </xf>
    <xf numFmtId="0" fontId="27" fillId="9" borderId="32" xfId="0" applyFont="1" applyFill="1" applyBorder="1" applyAlignment="1">
      <alignment horizontal="center" vertical="center"/>
    </xf>
    <xf numFmtId="0" fontId="27" fillId="9" borderId="37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1" fontId="11" fillId="9" borderId="32" xfId="0" applyNumberFormat="1" applyFont="1" applyFill="1" applyBorder="1" applyAlignment="1">
      <alignment horizontal="center" vertical="center"/>
    </xf>
    <xf numFmtId="1" fontId="11" fillId="10" borderId="0" xfId="0" applyNumberFormat="1" applyFont="1" applyFill="1" applyAlignment="1">
      <alignment vertical="center"/>
    </xf>
    <xf numFmtId="0" fontId="2" fillId="9" borderId="60" xfId="0" applyFont="1" applyFill="1" applyBorder="1" applyAlignment="1">
      <alignment horizontal="center" vertical="center"/>
    </xf>
    <xf numFmtId="166" fontId="2" fillId="9" borderId="54" xfId="0" applyNumberFormat="1" applyFont="1" applyFill="1" applyBorder="1" applyAlignment="1">
      <alignment horizontal="left" vertical="center" wrapText="1" indent="1"/>
    </xf>
    <xf numFmtId="0" fontId="11" fillId="9" borderId="20" xfId="0" applyFont="1" applyFill="1" applyBorder="1" applyAlignment="1">
      <alignment horizontal="center" vertical="center"/>
    </xf>
    <xf numFmtId="0" fontId="27" fillId="9" borderId="20" xfId="0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0" fontId="27" fillId="9" borderId="38" xfId="0" applyFont="1" applyFill="1" applyBorder="1" applyAlignment="1">
      <alignment horizontal="center" vertical="center"/>
    </xf>
    <xf numFmtId="1" fontId="2" fillId="9" borderId="36" xfId="0" applyNumberFormat="1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166" fontId="2" fillId="9" borderId="58" xfId="0" applyNumberFormat="1" applyFont="1" applyFill="1" applyBorder="1" applyAlignment="1">
      <alignment horizontal="left" vertical="center" wrapText="1" indent="1"/>
    </xf>
    <xf numFmtId="1" fontId="2" fillId="9" borderId="61" xfId="0" applyNumberFormat="1" applyFont="1" applyFill="1" applyBorder="1" applyAlignment="1">
      <alignment horizontal="center" vertical="center"/>
    </xf>
    <xf numFmtId="3" fontId="2" fillId="9" borderId="62" xfId="0" applyNumberFormat="1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1" fontId="11" fillId="9" borderId="28" xfId="0" applyNumberFormat="1" applyFont="1" applyFill="1" applyBorder="1" applyAlignment="1">
      <alignment horizontal="center" vertical="center"/>
    </xf>
    <xf numFmtId="1" fontId="11" fillId="9" borderId="55" xfId="0" applyNumberFormat="1" applyFont="1" applyFill="1" applyBorder="1" applyAlignment="1">
      <alignment horizontal="center" vertical="center"/>
    </xf>
    <xf numFmtId="166" fontId="2" fillId="10" borderId="31" xfId="0" applyNumberFormat="1" applyFont="1" applyFill="1" applyBorder="1" applyAlignment="1">
      <alignment horizontal="left" vertical="center" indent="1"/>
    </xf>
    <xf numFmtId="1" fontId="11" fillId="10" borderId="32" xfId="0" applyNumberFormat="1" applyFont="1" applyFill="1" applyBorder="1" applyAlignment="1">
      <alignment horizontal="center" vertical="center"/>
    </xf>
    <xf numFmtId="1" fontId="11" fillId="10" borderId="46" xfId="0" applyNumberFormat="1" applyFont="1" applyFill="1" applyBorder="1" applyAlignment="1">
      <alignment horizontal="center" vertical="center"/>
    </xf>
    <xf numFmtId="1" fontId="11" fillId="10" borderId="38" xfId="0" applyNumberFormat="1" applyFont="1" applyFill="1" applyBorder="1" applyAlignment="1">
      <alignment horizontal="center" vertical="center"/>
    </xf>
    <xf numFmtId="1" fontId="11" fillId="10" borderId="48" xfId="0" applyNumberFormat="1" applyFont="1" applyFill="1" applyBorder="1" applyAlignment="1">
      <alignment horizontal="center" vertical="center"/>
    </xf>
    <xf numFmtId="1" fontId="11" fillId="10" borderId="0" xfId="0" applyNumberFormat="1" applyFont="1" applyFill="1" applyAlignment="1">
      <alignment horizontal="center" vertical="center"/>
    </xf>
    <xf numFmtId="166" fontId="2" fillId="11" borderId="36" xfId="0" applyNumberFormat="1" applyFont="1" applyFill="1" applyBorder="1" applyAlignment="1">
      <alignment horizontal="left" vertical="center" indent="1"/>
    </xf>
    <xf numFmtId="0" fontId="2" fillId="9" borderId="41" xfId="0" applyFont="1" applyFill="1" applyBorder="1" applyAlignment="1">
      <alignment horizontal="left" vertical="center" indent="1"/>
    </xf>
    <xf numFmtId="166" fontId="11" fillId="0" borderId="0" xfId="0" applyNumberFormat="1" applyFont="1" applyAlignment="1">
      <alignment horizontal="left" vertical="center" indent="1"/>
    </xf>
    <xf numFmtId="1" fontId="11" fillId="0" borderId="0" xfId="0" applyNumberFormat="1" applyFont="1" applyAlignment="1">
      <alignment horizontal="right" vertical="center"/>
    </xf>
    <xf numFmtId="3" fontId="23" fillId="10" borderId="36" xfId="0" applyNumberFormat="1" applyFont="1" applyFill="1" applyBorder="1" applyAlignment="1" applyProtection="1">
      <alignment horizontal="center" vertical="center"/>
      <protection locked="0"/>
    </xf>
    <xf numFmtId="3" fontId="23" fillId="10" borderId="21" xfId="0" applyNumberFormat="1" applyFont="1" applyFill="1" applyBorder="1" applyAlignment="1" applyProtection="1">
      <alignment horizontal="center" vertical="center"/>
      <protection locked="0"/>
    </xf>
    <xf numFmtId="3" fontId="23" fillId="11" borderId="39" xfId="0" applyNumberFormat="1" applyFont="1" applyFill="1" applyBorder="1" applyAlignment="1">
      <alignment horizontal="center" vertical="center"/>
    </xf>
    <xf numFmtId="3" fontId="23" fillId="11" borderId="40" xfId="0" applyNumberFormat="1" applyFont="1" applyFill="1" applyBorder="1" applyAlignment="1">
      <alignment horizontal="center" vertical="center"/>
    </xf>
    <xf numFmtId="3" fontId="23" fillId="11" borderId="36" xfId="0" applyNumberFormat="1" applyFont="1" applyFill="1" applyBorder="1" applyAlignment="1">
      <alignment horizontal="center" vertical="center"/>
    </xf>
    <xf numFmtId="3" fontId="23" fillId="11" borderId="21" xfId="0" applyNumberFormat="1" applyFont="1" applyFill="1" applyBorder="1" applyAlignment="1">
      <alignment horizontal="center" vertical="center"/>
    </xf>
    <xf numFmtId="3" fontId="23" fillId="11" borderId="29" xfId="0" applyNumberFormat="1" applyFont="1" applyFill="1" applyBorder="1" applyAlignment="1">
      <alignment horizontal="center" vertical="center"/>
    </xf>
    <xf numFmtId="3" fontId="23" fillId="9" borderId="36" xfId="0" applyNumberFormat="1" applyFont="1" applyFill="1" applyBorder="1" applyAlignment="1">
      <alignment horizontal="center" vertical="center"/>
    </xf>
    <xf numFmtId="3" fontId="23" fillId="9" borderId="21" xfId="0" applyNumberFormat="1" applyFont="1" applyFill="1" applyBorder="1" applyAlignment="1">
      <alignment horizontal="center" vertical="center"/>
    </xf>
    <xf numFmtId="1" fontId="15" fillId="0" borderId="65" xfId="0" applyNumberFormat="1" applyFont="1" applyBorder="1" applyAlignment="1">
      <alignment horizontal="center" vertical="center"/>
    </xf>
    <xf numFmtId="0" fontId="14" fillId="0" borderId="0" xfId="0" applyFont="1"/>
    <xf numFmtId="0" fontId="10" fillId="0" borderId="69" xfId="0" applyFont="1" applyBorder="1" applyAlignment="1">
      <alignment horizontal="center" vertical="center"/>
    </xf>
    <xf numFmtId="1" fontId="10" fillId="0" borderId="65" xfId="0" applyNumberFormat="1" applyFont="1" applyBorder="1" applyAlignment="1">
      <alignment horizontal="center" vertical="center"/>
    </xf>
    <xf numFmtId="0" fontId="1" fillId="13" borderId="33" xfId="0" applyFont="1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11" fillId="13" borderId="20" xfId="0" applyFont="1" applyFill="1" applyBorder="1" applyAlignment="1">
      <alignment horizontal="center" vertical="center"/>
    </xf>
    <xf numFmtId="0" fontId="27" fillId="13" borderId="38" xfId="0" applyFont="1" applyFill="1" applyBorder="1" applyAlignment="1">
      <alignment horizontal="center" vertical="center"/>
    </xf>
    <xf numFmtId="0" fontId="27" fillId="13" borderId="20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11" fillId="9" borderId="42" xfId="0" applyFont="1" applyFill="1" applyBorder="1" applyAlignment="1">
      <alignment horizontal="center" vertical="center"/>
    </xf>
    <xf numFmtId="0" fontId="27" fillId="9" borderId="70" xfId="0" applyFont="1" applyFill="1" applyBorder="1" applyAlignment="1">
      <alignment horizontal="center" vertical="center"/>
    </xf>
    <xf numFmtId="0" fontId="11" fillId="9" borderId="71" xfId="0" applyFont="1" applyFill="1" applyBorder="1" applyAlignment="1">
      <alignment horizontal="center" vertical="center"/>
    </xf>
    <xf numFmtId="0" fontId="11" fillId="9" borderId="72" xfId="0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11" fillId="13" borderId="28" xfId="0" applyFont="1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2" fillId="11" borderId="11" xfId="0" applyFont="1" applyFill="1" applyBorder="1" applyAlignment="1">
      <alignment vertical="center" wrapText="1"/>
    </xf>
    <xf numFmtId="0" fontId="2" fillId="9" borderId="11" xfId="0" applyFont="1" applyFill="1" applyBorder="1" applyAlignment="1">
      <alignment vertical="center" wrapText="1"/>
    </xf>
    <xf numFmtId="166" fontId="11" fillId="11" borderId="24" xfId="0" applyNumberFormat="1" applyFont="1" applyFill="1" applyBorder="1" applyAlignment="1">
      <alignment horizontal="left" vertical="center" indent="1"/>
    </xf>
    <xf numFmtId="166" fontId="11" fillId="11" borderId="42" xfId="0" applyNumberFormat="1" applyFont="1" applyFill="1" applyBorder="1" applyAlignment="1">
      <alignment horizontal="left" vertical="center" indent="1"/>
    </xf>
    <xf numFmtId="166" fontId="11" fillId="9" borderId="33" xfId="0" applyNumberFormat="1" applyFont="1" applyFill="1" applyBorder="1" applyAlignment="1">
      <alignment horizontal="left" vertical="center" indent="1"/>
    </xf>
    <xf numFmtId="166" fontId="11" fillId="9" borderId="24" xfId="0" applyNumberFormat="1" applyFont="1" applyFill="1" applyBorder="1" applyAlignment="1">
      <alignment horizontal="left" vertical="center" indent="1"/>
    </xf>
    <xf numFmtId="166" fontId="11" fillId="9" borderId="42" xfId="0" applyNumberFormat="1" applyFont="1" applyFill="1" applyBorder="1" applyAlignment="1">
      <alignment horizontal="left" vertical="center" indent="1"/>
    </xf>
    <xf numFmtId="0" fontId="2" fillId="10" borderId="71" xfId="0" applyFont="1" applyFill="1" applyBorder="1" applyAlignment="1">
      <alignment horizontal="center" vertical="center"/>
    </xf>
    <xf numFmtId="0" fontId="0" fillId="10" borderId="71" xfId="0" applyFill="1" applyBorder="1" applyAlignment="1">
      <alignment horizontal="center" vertical="center"/>
    </xf>
    <xf numFmtId="0" fontId="0" fillId="10" borderId="72" xfId="0" applyFill="1" applyBorder="1" applyAlignment="1">
      <alignment horizontal="center" vertical="center"/>
    </xf>
    <xf numFmtId="0" fontId="0" fillId="11" borderId="71" xfId="0" applyFill="1" applyBorder="1" applyAlignment="1" applyProtection="1">
      <alignment horizontal="center" vertical="center"/>
      <protection locked="0"/>
    </xf>
    <xf numFmtId="0" fontId="1" fillId="13" borderId="73" xfId="0" applyFont="1" applyFill="1" applyBorder="1" applyAlignment="1">
      <alignment horizontal="center" vertical="center"/>
    </xf>
    <xf numFmtId="0" fontId="11" fillId="13" borderId="71" xfId="0" applyFont="1" applyFill="1" applyBorder="1" applyAlignment="1">
      <alignment horizontal="center" vertical="center"/>
    </xf>
    <xf numFmtId="0" fontId="11" fillId="13" borderId="72" xfId="0" applyFont="1" applyFill="1" applyBorder="1" applyAlignment="1">
      <alignment horizontal="center" vertical="center"/>
    </xf>
    <xf numFmtId="166" fontId="11" fillId="0" borderId="46" xfId="0" applyNumberFormat="1" applyFont="1" applyBorder="1" applyAlignment="1">
      <alignment horizontal="left" vertical="center" indent="1"/>
    </xf>
    <xf numFmtId="1" fontId="11" fillId="0" borderId="38" xfId="0" applyNumberFormat="1" applyFont="1" applyBorder="1" applyAlignment="1">
      <alignment horizontal="center" vertical="center"/>
    </xf>
    <xf numFmtId="1" fontId="11" fillId="0" borderId="46" xfId="0" applyNumberFormat="1" applyFont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 wrapText="1"/>
    </xf>
    <xf numFmtId="0" fontId="2" fillId="6" borderId="57" xfId="0" applyFont="1" applyFill="1" applyBorder="1" applyAlignment="1">
      <alignment horizontal="center" vertical="center" wrapText="1"/>
    </xf>
    <xf numFmtId="0" fontId="2" fillId="6" borderId="83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24" fillId="7" borderId="63" xfId="1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48" xfId="0" applyFont="1" applyFill="1" applyBorder="1" applyAlignment="1">
      <alignment horizontal="center" vertical="center" wrapText="1"/>
    </xf>
    <xf numFmtId="0" fontId="2" fillId="11" borderId="71" xfId="0" applyFont="1" applyFill="1" applyBorder="1" applyAlignment="1">
      <alignment horizontal="center" vertical="center"/>
    </xf>
    <xf numFmtId="0" fontId="2" fillId="11" borderId="72" xfId="0" applyFont="1" applyFill="1" applyBorder="1" applyAlignment="1">
      <alignment horizontal="center" vertical="center"/>
    </xf>
    <xf numFmtId="3" fontId="23" fillId="11" borderId="42" xfId="0" applyNumberFormat="1" applyFont="1" applyFill="1" applyBorder="1" applyAlignment="1">
      <alignment horizontal="center" vertical="center"/>
    </xf>
    <xf numFmtId="3" fontId="2" fillId="11" borderId="72" xfId="0" applyNumberFormat="1" applyFont="1" applyFill="1" applyBorder="1" applyAlignment="1">
      <alignment horizontal="center" vertical="center"/>
    </xf>
    <xf numFmtId="0" fontId="24" fillId="0" borderId="71" xfId="0" applyFont="1" applyBorder="1" applyAlignment="1">
      <alignment vertical="center"/>
    </xf>
    <xf numFmtId="0" fontId="11" fillId="0" borderId="84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166" fontId="11" fillId="0" borderId="88" xfId="0" applyNumberFormat="1" applyFont="1" applyBorder="1" applyAlignment="1">
      <alignment horizontal="left" vertical="center" indent="1"/>
    </xf>
    <xf numFmtId="166" fontId="11" fillId="0" borderId="90" xfId="0" applyNumberFormat="1" applyFont="1" applyBorder="1" applyAlignment="1">
      <alignment horizontal="left" vertical="center" indent="1"/>
    </xf>
    <xf numFmtId="3" fontId="11" fillId="0" borderId="91" xfId="0" applyNumberFormat="1" applyFont="1" applyBorder="1" applyAlignment="1" applyProtection="1">
      <alignment horizontal="center" vertical="center"/>
      <protection locked="0"/>
    </xf>
    <xf numFmtId="0" fontId="11" fillId="0" borderId="9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" fontId="10" fillId="0" borderId="93" xfId="0" applyNumberFormat="1" applyFont="1" applyBorder="1" applyAlignment="1">
      <alignment horizontal="center" vertical="center"/>
    </xf>
    <xf numFmtId="1" fontId="15" fillId="0" borderId="94" xfId="0" applyNumberFormat="1" applyFont="1" applyBorder="1" applyAlignment="1">
      <alignment horizontal="center" vertical="center"/>
    </xf>
    <xf numFmtId="1" fontId="15" fillId="0" borderId="95" xfId="0" applyNumberFormat="1" applyFont="1" applyBorder="1" applyAlignment="1">
      <alignment horizontal="center" vertical="center"/>
    </xf>
    <xf numFmtId="0" fontId="11" fillId="12" borderId="57" xfId="0" applyFont="1" applyFill="1" applyBorder="1" applyAlignment="1">
      <alignment horizontal="center" vertical="center" wrapText="1"/>
    </xf>
    <xf numFmtId="0" fontId="11" fillId="12" borderId="57" xfId="0" applyFont="1" applyFill="1" applyBorder="1" applyAlignment="1">
      <alignment horizontal="center" vertical="center"/>
    </xf>
    <xf numFmtId="0" fontId="2" fillId="14" borderId="59" xfId="0" applyFont="1" applyFill="1" applyBorder="1" applyAlignment="1">
      <alignment horizontal="center" vertical="center"/>
    </xf>
    <xf numFmtId="166" fontId="2" fillId="14" borderId="34" xfId="0" applyNumberFormat="1" applyFont="1" applyFill="1" applyBorder="1" applyAlignment="1">
      <alignment horizontal="left" vertical="center" wrapText="1" indent="1"/>
    </xf>
    <xf numFmtId="1" fontId="2" fillId="14" borderId="44" xfId="0" applyNumberFormat="1" applyFont="1" applyFill="1" applyBorder="1" applyAlignment="1">
      <alignment horizontal="center" vertical="center"/>
    </xf>
    <xf numFmtId="3" fontId="2" fillId="14" borderId="45" xfId="0" applyNumberFormat="1" applyFont="1" applyFill="1" applyBorder="1" applyAlignment="1">
      <alignment horizontal="center" vertical="center"/>
    </xf>
    <xf numFmtId="3" fontId="23" fillId="14" borderId="36" xfId="0" applyNumberFormat="1" applyFont="1" applyFill="1" applyBorder="1" applyAlignment="1">
      <alignment horizontal="center" vertical="center"/>
    </xf>
    <xf numFmtId="3" fontId="23" fillId="14" borderId="21" xfId="0" applyNumberFormat="1" applyFont="1" applyFill="1" applyBorder="1" applyAlignment="1">
      <alignment horizontal="center" vertical="center"/>
    </xf>
    <xf numFmtId="0" fontId="1" fillId="14" borderId="33" xfId="0" applyFont="1" applyFill="1" applyBorder="1" applyAlignment="1">
      <alignment horizontal="center" vertical="center"/>
    </xf>
    <xf numFmtId="166" fontId="11" fillId="14" borderId="33" xfId="0" applyNumberFormat="1" applyFont="1" applyFill="1" applyBorder="1" applyAlignment="1">
      <alignment horizontal="left" vertical="center" indent="1"/>
    </xf>
    <xf numFmtId="1" fontId="11" fillId="14" borderId="32" xfId="0" applyNumberFormat="1" applyFont="1" applyFill="1" applyBorder="1" applyAlignment="1">
      <alignment horizontal="center" vertical="center"/>
    </xf>
    <xf numFmtId="0" fontId="2" fillId="14" borderId="60" xfId="0" applyFont="1" applyFill="1" applyBorder="1" applyAlignment="1">
      <alignment horizontal="center" vertical="center"/>
    </xf>
    <xf numFmtId="166" fontId="2" fillId="14" borderId="54" xfId="0" applyNumberFormat="1" applyFont="1" applyFill="1" applyBorder="1" applyAlignment="1">
      <alignment horizontal="left" vertical="center" wrapText="1" indent="1"/>
    </xf>
    <xf numFmtId="166" fontId="11" fillId="14" borderId="24" xfId="0" applyNumberFormat="1" applyFont="1" applyFill="1" applyBorder="1" applyAlignment="1">
      <alignment horizontal="left" vertical="center" indent="1"/>
    </xf>
    <xf numFmtId="1" fontId="11" fillId="14" borderId="20" xfId="0" applyNumberFormat="1" applyFont="1" applyFill="1" applyBorder="1" applyAlignment="1">
      <alignment horizontal="center" vertical="center"/>
    </xf>
    <xf numFmtId="1" fontId="2" fillId="14" borderId="36" xfId="0" applyNumberFormat="1" applyFont="1" applyFill="1" applyBorder="1" applyAlignment="1">
      <alignment horizontal="center" vertical="center"/>
    </xf>
    <xf numFmtId="3" fontId="2" fillId="14" borderId="21" xfId="0" applyNumberFormat="1" applyFont="1" applyFill="1" applyBorder="1" applyAlignment="1">
      <alignment horizontal="center" vertical="center"/>
    </xf>
    <xf numFmtId="0" fontId="2" fillId="14" borderId="22" xfId="0" applyFont="1" applyFill="1" applyBorder="1" applyAlignment="1">
      <alignment horizontal="center" vertical="center"/>
    </xf>
    <xf numFmtId="166" fontId="2" fillId="14" borderId="58" xfId="0" applyNumberFormat="1" applyFont="1" applyFill="1" applyBorder="1" applyAlignment="1">
      <alignment horizontal="left" vertical="center" wrapText="1" indent="1"/>
    </xf>
    <xf numFmtId="1" fontId="2" fillId="14" borderId="61" xfId="0" applyNumberFormat="1" applyFont="1" applyFill="1" applyBorder="1" applyAlignment="1">
      <alignment horizontal="center" vertical="center"/>
    </xf>
    <xf numFmtId="3" fontId="2" fillId="14" borderId="62" xfId="0" applyNumberFormat="1" applyFont="1" applyFill="1" applyBorder="1" applyAlignment="1">
      <alignment horizontal="center" vertical="center"/>
    </xf>
    <xf numFmtId="166" fontId="11" fillId="14" borderId="42" xfId="0" applyNumberFormat="1" applyFont="1" applyFill="1" applyBorder="1" applyAlignment="1">
      <alignment horizontal="left" vertical="center" indent="1"/>
    </xf>
    <xf numFmtId="1" fontId="11" fillId="14" borderId="28" xfId="0" applyNumberFormat="1" applyFont="1" applyFill="1" applyBorder="1" applyAlignment="1">
      <alignment horizontal="center" vertical="center"/>
    </xf>
    <xf numFmtId="0" fontId="1" fillId="15" borderId="33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vertical="center" wrapText="1"/>
    </xf>
    <xf numFmtId="1" fontId="11" fillId="14" borderId="55" xfId="0" applyNumberFormat="1" applyFont="1" applyFill="1" applyBorder="1" applyAlignment="1">
      <alignment horizontal="center" vertical="center"/>
    </xf>
    <xf numFmtId="0" fontId="2" fillId="14" borderId="4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" fontId="18" fillId="4" borderId="20" xfId="0" applyNumberFormat="1" applyFont="1" applyFill="1" applyBorder="1" applyAlignment="1">
      <alignment horizontal="center" vertical="center"/>
    </xf>
    <xf numFmtId="2" fontId="18" fillId="4" borderId="8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1" fontId="13" fillId="0" borderId="64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5" fillId="0" borderId="64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left" vertical="top" wrapText="1"/>
    </xf>
    <xf numFmtId="49" fontId="9" fillId="0" borderId="6" xfId="0" applyNumberFormat="1" applyFont="1" applyBorder="1" applyAlignment="1">
      <alignment horizontal="left" vertical="top" wrapText="1"/>
    </xf>
    <xf numFmtId="49" fontId="9" fillId="0" borderId="7" xfId="0" applyNumberFormat="1" applyFont="1" applyBorder="1" applyAlignment="1">
      <alignment horizontal="left" vertical="top" wrapText="1"/>
    </xf>
    <xf numFmtId="49" fontId="9" fillId="0" borderId="8" xfId="0" applyNumberFormat="1" applyFont="1" applyBorder="1" applyAlignment="1">
      <alignment horizontal="left" vertical="top" wrapText="1"/>
    </xf>
    <xf numFmtId="49" fontId="9" fillId="0" borderId="0" xfId="0" applyNumberFormat="1" applyFont="1" applyAlignment="1">
      <alignment horizontal="left" vertical="top" wrapText="1"/>
    </xf>
    <xf numFmtId="49" fontId="9" fillId="0" borderId="9" xfId="0" applyNumberFormat="1" applyFont="1" applyBorder="1" applyAlignment="1">
      <alignment horizontal="left" vertical="top" wrapText="1"/>
    </xf>
    <xf numFmtId="49" fontId="9" fillId="0" borderId="11" xfId="0" applyNumberFormat="1" applyFont="1" applyBorder="1" applyAlignment="1">
      <alignment horizontal="left" vertical="top" wrapText="1"/>
    </xf>
    <xf numFmtId="49" fontId="9" fillId="0" borderId="12" xfId="0" applyNumberFormat="1" applyFont="1" applyBorder="1" applyAlignment="1">
      <alignment horizontal="left" vertical="top" wrapText="1"/>
    </xf>
    <xf numFmtId="49" fontId="9" fillId="0" borderId="13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16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1" fillId="0" borderId="86" xfId="0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2" fontId="29" fillId="5" borderId="25" xfId="0" applyNumberFormat="1" applyFont="1" applyFill="1" applyBorder="1" applyAlignment="1">
      <alignment horizontal="center" vertical="center"/>
    </xf>
    <xf numFmtId="2" fontId="29" fillId="5" borderId="26" xfId="0" applyNumberFormat="1" applyFont="1" applyFill="1" applyBorder="1" applyAlignment="1">
      <alignment horizontal="center" vertical="center"/>
    </xf>
    <xf numFmtId="2" fontId="29" fillId="5" borderId="30" xfId="0" applyNumberFormat="1" applyFont="1" applyFill="1" applyBorder="1" applyAlignment="1">
      <alignment horizontal="center" vertical="center"/>
    </xf>
    <xf numFmtId="2" fontId="28" fillId="5" borderId="7" xfId="0" applyNumberFormat="1" applyFont="1" applyFill="1" applyBorder="1" applyAlignment="1">
      <alignment horizontal="center" vertical="center"/>
    </xf>
    <xf numFmtId="2" fontId="28" fillId="5" borderId="9" xfId="0" applyNumberFormat="1" applyFont="1" applyFill="1" applyBorder="1" applyAlignment="1">
      <alignment horizontal="center" vertical="center"/>
    </xf>
    <xf numFmtId="2" fontId="28" fillId="5" borderId="13" xfId="0" applyNumberFormat="1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12" borderId="35" xfId="0" applyFont="1" applyFill="1" applyBorder="1" applyAlignment="1">
      <alignment horizontal="center" vertical="center" wrapText="1"/>
    </xf>
    <xf numFmtId="0" fontId="11" fillId="12" borderId="38" xfId="0" applyFont="1" applyFill="1" applyBorder="1" applyAlignment="1">
      <alignment horizontal="center" vertical="center" wrapText="1"/>
    </xf>
    <xf numFmtId="167" fontId="22" fillId="2" borderId="66" xfId="0" applyNumberFormat="1" applyFont="1" applyFill="1" applyBorder="1" applyAlignment="1">
      <alignment horizontal="center" vertical="center" wrapText="1"/>
    </xf>
    <xf numFmtId="167" fontId="22" fillId="2" borderId="68" xfId="0" applyNumberFormat="1" applyFont="1" applyFill="1" applyBorder="1" applyAlignment="1">
      <alignment horizontal="center" vertical="center" wrapText="1"/>
    </xf>
    <xf numFmtId="167" fontId="22" fillId="2" borderId="67" xfId="0" applyNumberFormat="1" applyFont="1" applyFill="1" applyBorder="1" applyAlignment="1">
      <alignment horizontal="center" vertical="center" wrapText="1"/>
    </xf>
    <xf numFmtId="0" fontId="23" fillId="6" borderId="66" xfId="0" applyFont="1" applyFill="1" applyBorder="1" applyAlignment="1">
      <alignment horizontal="center" vertical="center" wrapText="1"/>
    </xf>
    <xf numFmtId="0" fontId="23" fillId="6" borderId="68" xfId="0" applyFont="1" applyFill="1" applyBorder="1" applyAlignment="1">
      <alignment horizontal="center" vertical="center" wrapText="1"/>
    </xf>
    <xf numFmtId="0" fontId="23" fillId="6" borderId="67" xfId="0" applyFont="1" applyFill="1" applyBorder="1" applyAlignment="1">
      <alignment horizontal="center" vertical="center" wrapText="1"/>
    </xf>
    <xf numFmtId="0" fontId="11" fillId="12" borderId="35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0" borderId="74" xfId="0" applyFont="1" applyBorder="1" applyAlignment="1">
      <alignment horizontal="left" vertical="center" wrapText="1" indent="1"/>
    </xf>
    <xf numFmtId="0" fontId="11" fillId="0" borderId="78" xfId="0" applyFont="1" applyBorder="1" applyAlignment="1">
      <alignment horizontal="left" vertical="center" wrapText="1" indent="1"/>
    </xf>
  </cellXfs>
  <cellStyles count="2">
    <cellStyle name="Standard" xfId="0" builtinId="0"/>
    <cellStyle name="Standard 4 2" xfId="1" xr:uid="{6238F965-CEF2-4637-BDC6-5173F394A5DF}"/>
  </cellStyles>
  <dxfs count="16">
    <dxf>
      <font>
        <b/>
        <i val="0"/>
        <color theme="1"/>
      </font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4" tint="0.59996337778862885"/>
        </patternFill>
      </fill>
    </dxf>
    <dxf>
      <font>
        <b/>
        <i val="0"/>
        <color theme="1"/>
      </font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'KPI-OnePager-new-2024'!$D$48</c:f>
              <c:strCache>
                <c:ptCount val="1"/>
                <c:pt idx="0">
                  <c:v>Workers per 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'KPI-OnePager-new-2024'!$C$49:$C$96</c:f>
              <c:strCache>
                <c:ptCount val="48"/>
                <c:pt idx="0">
                  <c:v>January
2022</c:v>
                </c:pt>
                <c:pt idx="1">
                  <c:v>Feburay
2022</c:v>
                </c:pt>
                <c:pt idx="2">
                  <c:v>March
2022</c:v>
                </c:pt>
                <c:pt idx="3">
                  <c:v>April
2022</c:v>
                </c:pt>
                <c:pt idx="4">
                  <c:v>May
2022</c:v>
                </c:pt>
                <c:pt idx="5">
                  <c:v>June
2022</c:v>
                </c:pt>
                <c:pt idx="6">
                  <c:v>July
2022</c:v>
                </c:pt>
                <c:pt idx="7">
                  <c:v>August
2022</c:v>
                </c:pt>
                <c:pt idx="8">
                  <c:v>September
2022</c:v>
                </c:pt>
                <c:pt idx="9">
                  <c:v>October
2022</c:v>
                </c:pt>
                <c:pt idx="10">
                  <c:v>November
2022</c:v>
                </c:pt>
                <c:pt idx="11">
                  <c:v>December
2022</c:v>
                </c:pt>
                <c:pt idx="12">
                  <c:v>January
2023</c:v>
                </c:pt>
                <c:pt idx="13">
                  <c:v>Feburay
2023</c:v>
                </c:pt>
                <c:pt idx="14">
                  <c:v>March
2023</c:v>
                </c:pt>
                <c:pt idx="15">
                  <c:v>April
2023</c:v>
                </c:pt>
                <c:pt idx="16">
                  <c:v>May
2023</c:v>
                </c:pt>
                <c:pt idx="17">
                  <c:v>June
2023</c:v>
                </c:pt>
                <c:pt idx="18">
                  <c:v>July
2023</c:v>
                </c:pt>
                <c:pt idx="19">
                  <c:v>August
2023</c:v>
                </c:pt>
                <c:pt idx="20">
                  <c:v>September
2023</c:v>
                </c:pt>
                <c:pt idx="21">
                  <c:v>October
2023</c:v>
                </c:pt>
                <c:pt idx="22">
                  <c:v>November
2023</c:v>
                </c:pt>
                <c:pt idx="23">
                  <c:v>December
2023</c:v>
                </c:pt>
                <c:pt idx="24">
                  <c:v>January
2024</c:v>
                </c:pt>
                <c:pt idx="25">
                  <c:v>Feburay
2024</c:v>
                </c:pt>
                <c:pt idx="26">
                  <c:v>March
2024</c:v>
                </c:pt>
                <c:pt idx="27">
                  <c:v>April
2024</c:v>
                </c:pt>
                <c:pt idx="28">
                  <c:v>May
2024</c:v>
                </c:pt>
                <c:pt idx="29">
                  <c:v>June
2024</c:v>
                </c:pt>
                <c:pt idx="30">
                  <c:v>July
2024</c:v>
                </c:pt>
                <c:pt idx="31">
                  <c:v>August
2024</c:v>
                </c:pt>
                <c:pt idx="32">
                  <c:v>September
2024</c:v>
                </c:pt>
                <c:pt idx="33">
                  <c:v>October
2024</c:v>
                </c:pt>
                <c:pt idx="34">
                  <c:v>November
2024</c:v>
                </c:pt>
                <c:pt idx="35">
                  <c:v>December
2024</c:v>
                </c:pt>
                <c:pt idx="36">
                  <c:v>January
2025</c:v>
                </c:pt>
                <c:pt idx="37">
                  <c:v>Feburay
2025</c:v>
                </c:pt>
                <c:pt idx="38">
                  <c:v>March
2025</c:v>
                </c:pt>
                <c:pt idx="39">
                  <c:v>April
2025</c:v>
                </c:pt>
                <c:pt idx="40">
                  <c:v>May
2025</c:v>
                </c:pt>
                <c:pt idx="41">
                  <c:v>June
2025</c:v>
                </c:pt>
                <c:pt idx="42">
                  <c:v>July
2025</c:v>
                </c:pt>
                <c:pt idx="43">
                  <c:v>August
2025</c:v>
                </c:pt>
                <c:pt idx="44">
                  <c:v>September
2025</c:v>
                </c:pt>
                <c:pt idx="45">
                  <c:v>October
2025</c:v>
                </c:pt>
                <c:pt idx="46">
                  <c:v>November
2025</c:v>
                </c:pt>
                <c:pt idx="47">
                  <c:v>December
2025</c:v>
                </c:pt>
              </c:strCache>
            </c:strRef>
          </c:cat>
          <c:val>
            <c:numRef>
              <c:f>'KPI-OnePager-new-2024'!$D$49:$D$96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8.9</c:v>
                </c:pt>
                <c:pt idx="14">
                  <c:v>8</c:v>
                </c:pt>
                <c:pt idx="15">
                  <c:v>10.35</c:v>
                </c:pt>
                <c:pt idx="16">
                  <c:v>9.3636363636363633</c:v>
                </c:pt>
                <c:pt idx="17">
                  <c:v>10.571428571428571</c:v>
                </c:pt>
                <c:pt idx="18">
                  <c:v>11.19047619047619</c:v>
                </c:pt>
                <c:pt idx="19">
                  <c:v>10.666666666666666</c:v>
                </c:pt>
                <c:pt idx="20">
                  <c:v>12</c:v>
                </c:pt>
                <c:pt idx="21">
                  <c:v>13.181818181818182</c:v>
                </c:pt>
                <c:pt idx="22">
                  <c:v>13.681818181818182</c:v>
                </c:pt>
                <c:pt idx="23">
                  <c:v>17.157894736842106</c:v>
                </c:pt>
                <c:pt idx="24">
                  <c:v>181</c:v>
                </c:pt>
                <c:pt idx="25">
                  <c:v>379.33333333333331</c:v>
                </c:pt>
                <c:pt idx="26">
                  <c:v>386.95</c:v>
                </c:pt>
                <c:pt idx="27">
                  <c:v>389.71428571428572</c:v>
                </c:pt>
                <c:pt idx="28">
                  <c:v>368.61904761904759</c:v>
                </c:pt>
                <c:pt idx="29">
                  <c:v>343.25</c:v>
                </c:pt>
                <c:pt idx="30">
                  <c:v>341.82608695652175</c:v>
                </c:pt>
                <c:pt idx="31">
                  <c:v>346.42857142857144</c:v>
                </c:pt>
                <c:pt idx="32">
                  <c:v>438.47619047619048</c:v>
                </c:pt>
                <c:pt idx="33">
                  <c:v>499.08695652173913</c:v>
                </c:pt>
                <c:pt idx="34">
                  <c:v>620.70000000000005</c:v>
                </c:pt>
                <c:pt idx="35">
                  <c:v>444.76190476190476</c:v>
                </c:pt>
                <c:pt idx="36">
                  <c:v>569.71428571428567</c:v>
                </c:pt>
                <c:pt idx="37">
                  <c:v>534.70000000000005</c:v>
                </c:pt>
                <c:pt idx="38">
                  <c:v>510.76190476190476</c:v>
                </c:pt>
                <c:pt idx="39">
                  <c:v>465.25</c:v>
                </c:pt>
                <c:pt idx="40">
                  <c:v>466.28571428571428</c:v>
                </c:pt>
                <c:pt idx="41">
                  <c:v>443.26315789473682</c:v>
                </c:pt>
                <c:pt idx="42">
                  <c:v>434.08695652173913</c:v>
                </c:pt>
                <c:pt idx="43">
                  <c:v>401.63157894736844</c:v>
                </c:pt>
                <c:pt idx="44">
                  <c:v>398.59090909090907</c:v>
                </c:pt>
                <c:pt idx="45">
                  <c:v>340.30434782608694</c:v>
                </c:pt>
                <c:pt idx="46">
                  <c:v>363.5</c:v>
                </c:pt>
                <c:pt idx="47">
                  <c:v>322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5D8-4C30-9CFC-64358E9F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791282416"/>
        <c:axId val="791280120"/>
        <c:extLst/>
      </c:barChart>
      <c:lineChart>
        <c:grouping val="standard"/>
        <c:varyColors val="0"/>
        <c:ser>
          <c:idx val="3"/>
          <c:order val="3"/>
          <c:tx>
            <c:strRef>
              <c:f>'KPI-OnePager-new-2024'!$G$48</c:f>
              <c:strCache>
                <c:ptCount val="1"/>
                <c:pt idx="0">
                  <c:v>Hours 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'KPI-OnePager-new-2024'!$C$49:$C$96</c:f>
              <c:strCache>
                <c:ptCount val="48"/>
                <c:pt idx="0">
                  <c:v>January
2022</c:v>
                </c:pt>
                <c:pt idx="1">
                  <c:v>Feburay
2022</c:v>
                </c:pt>
                <c:pt idx="2">
                  <c:v>March
2022</c:v>
                </c:pt>
                <c:pt idx="3">
                  <c:v>April
2022</c:v>
                </c:pt>
                <c:pt idx="4">
                  <c:v>May
2022</c:v>
                </c:pt>
                <c:pt idx="5">
                  <c:v>June
2022</c:v>
                </c:pt>
                <c:pt idx="6">
                  <c:v>July
2022</c:v>
                </c:pt>
                <c:pt idx="7">
                  <c:v>August
2022</c:v>
                </c:pt>
                <c:pt idx="8">
                  <c:v>September
2022</c:v>
                </c:pt>
                <c:pt idx="9">
                  <c:v>October
2022</c:v>
                </c:pt>
                <c:pt idx="10">
                  <c:v>November
2022</c:v>
                </c:pt>
                <c:pt idx="11">
                  <c:v>December
2022</c:v>
                </c:pt>
                <c:pt idx="12">
                  <c:v>January
2023</c:v>
                </c:pt>
                <c:pt idx="13">
                  <c:v>Feburay
2023</c:v>
                </c:pt>
                <c:pt idx="14">
                  <c:v>March
2023</c:v>
                </c:pt>
                <c:pt idx="15">
                  <c:v>April
2023</c:v>
                </c:pt>
                <c:pt idx="16">
                  <c:v>May
2023</c:v>
                </c:pt>
                <c:pt idx="17">
                  <c:v>June
2023</c:v>
                </c:pt>
                <c:pt idx="18">
                  <c:v>July
2023</c:v>
                </c:pt>
                <c:pt idx="19">
                  <c:v>August
2023</c:v>
                </c:pt>
                <c:pt idx="20">
                  <c:v>September
2023</c:v>
                </c:pt>
                <c:pt idx="21">
                  <c:v>October
2023</c:v>
                </c:pt>
                <c:pt idx="22">
                  <c:v>November
2023</c:v>
                </c:pt>
                <c:pt idx="23">
                  <c:v>December
2023</c:v>
                </c:pt>
                <c:pt idx="24">
                  <c:v>January
2024</c:v>
                </c:pt>
                <c:pt idx="25">
                  <c:v>Feburay
2024</c:v>
                </c:pt>
                <c:pt idx="26">
                  <c:v>March
2024</c:v>
                </c:pt>
                <c:pt idx="27">
                  <c:v>April
2024</c:v>
                </c:pt>
                <c:pt idx="28">
                  <c:v>May
2024</c:v>
                </c:pt>
                <c:pt idx="29">
                  <c:v>June
2024</c:v>
                </c:pt>
                <c:pt idx="30">
                  <c:v>July
2024</c:v>
                </c:pt>
                <c:pt idx="31">
                  <c:v>August
2024</c:v>
                </c:pt>
                <c:pt idx="32">
                  <c:v>September
2024</c:v>
                </c:pt>
                <c:pt idx="33">
                  <c:v>October
2024</c:v>
                </c:pt>
                <c:pt idx="34">
                  <c:v>November
2024</c:v>
                </c:pt>
                <c:pt idx="35">
                  <c:v>December
2024</c:v>
                </c:pt>
                <c:pt idx="36">
                  <c:v>January
2025</c:v>
                </c:pt>
                <c:pt idx="37">
                  <c:v>Feburay
2025</c:v>
                </c:pt>
                <c:pt idx="38">
                  <c:v>March
2025</c:v>
                </c:pt>
                <c:pt idx="39">
                  <c:v>April
2025</c:v>
                </c:pt>
                <c:pt idx="40">
                  <c:v>May
2025</c:v>
                </c:pt>
                <c:pt idx="41">
                  <c:v>June
2025</c:v>
                </c:pt>
                <c:pt idx="42">
                  <c:v>July
2025</c:v>
                </c:pt>
                <c:pt idx="43">
                  <c:v>August
2025</c:v>
                </c:pt>
                <c:pt idx="44">
                  <c:v>September
2025</c:v>
                </c:pt>
                <c:pt idx="45">
                  <c:v>October
2025</c:v>
                </c:pt>
                <c:pt idx="46">
                  <c:v>November
2025</c:v>
                </c:pt>
                <c:pt idx="47">
                  <c:v>December
2025</c:v>
                </c:pt>
              </c:strCache>
            </c:strRef>
          </c:cat>
          <c:val>
            <c:numRef>
              <c:f>'KPI-OnePager-new-2024'!$G$49:$G$96</c:f>
              <c:numCache>
                <c:formatCode>#,##0</c:formatCode>
                <c:ptCount val="48"/>
                <c:pt idx="0">
                  <c:v>0.1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28175</c:v>
                </c:pt>
                <c:pt idx="14">
                  <c:v>33130</c:v>
                </c:pt>
                <c:pt idx="15">
                  <c:v>30339</c:v>
                </c:pt>
                <c:pt idx="16">
                  <c:v>31321</c:v>
                </c:pt>
                <c:pt idx="17">
                  <c:v>34196</c:v>
                </c:pt>
                <c:pt idx="18">
                  <c:v>34324</c:v>
                </c:pt>
                <c:pt idx="19">
                  <c:v>35759</c:v>
                </c:pt>
                <c:pt idx="20">
                  <c:v>38873</c:v>
                </c:pt>
                <c:pt idx="21">
                  <c:v>42007</c:v>
                </c:pt>
                <c:pt idx="22">
                  <c:v>47497</c:v>
                </c:pt>
                <c:pt idx="23">
                  <c:v>39890</c:v>
                </c:pt>
                <c:pt idx="24">
                  <c:v>35837</c:v>
                </c:pt>
                <c:pt idx="25">
                  <c:v>75426</c:v>
                </c:pt>
                <c:pt idx="26">
                  <c:v>69951</c:v>
                </c:pt>
                <c:pt idx="27">
                  <c:v>73656</c:v>
                </c:pt>
                <c:pt idx="28">
                  <c:v>69669</c:v>
                </c:pt>
                <c:pt idx="29">
                  <c:v>61785</c:v>
                </c:pt>
                <c:pt idx="30">
                  <c:v>70758</c:v>
                </c:pt>
                <c:pt idx="31">
                  <c:v>65475</c:v>
                </c:pt>
                <c:pt idx="32">
                  <c:v>82872</c:v>
                </c:pt>
                <c:pt idx="33">
                  <c:v>103311</c:v>
                </c:pt>
                <c:pt idx="34">
                  <c:v>111726</c:v>
                </c:pt>
                <c:pt idx="35">
                  <c:v>84060</c:v>
                </c:pt>
                <c:pt idx="36">
                  <c:v>107676</c:v>
                </c:pt>
                <c:pt idx="37">
                  <c:v>96264</c:v>
                </c:pt>
                <c:pt idx="38">
                  <c:v>96534</c:v>
                </c:pt>
                <c:pt idx="39">
                  <c:v>83745</c:v>
                </c:pt>
                <c:pt idx="40">
                  <c:v>88128</c:v>
                </c:pt>
                <c:pt idx="41">
                  <c:v>75798</c:v>
                </c:pt>
                <c:pt idx="42">
                  <c:v>89856</c:v>
                </c:pt>
                <c:pt idx="43">
                  <c:v>68679</c:v>
                </c:pt>
                <c:pt idx="44">
                  <c:v>78921</c:v>
                </c:pt>
                <c:pt idx="45">
                  <c:v>70443</c:v>
                </c:pt>
                <c:pt idx="46">
                  <c:v>65430</c:v>
                </c:pt>
                <c:pt idx="47">
                  <c:v>57960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5D8-4C30-9CFC-64358E9F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594992"/>
        <c:axId val="5663678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'KPI-OnePager-new-2024'!$E$48</c15:sqref>
                        </c15:formulaRef>
                      </c:ext>
                    </c:extLst>
                    <c:strCache>
                      <c:ptCount val="1"/>
                      <c:pt idx="0">
                        <c:v>Hours Ø per Day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'KPI-OnePager-new-2024'!$C$49:$C$96</c15:sqref>
                        </c15:formulaRef>
                      </c:ext>
                    </c:extLst>
                    <c:strCache>
                      <c:ptCount val="48"/>
                      <c:pt idx="0">
                        <c:v>January
2022</c:v>
                      </c:pt>
                      <c:pt idx="1">
                        <c:v>Feburay
2022</c:v>
                      </c:pt>
                      <c:pt idx="2">
                        <c:v>March
2022</c:v>
                      </c:pt>
                      <c:pt idx="3">
                        <c:v>April
2022</c:v>
                      </c:pt>
                      <c:pt idx="4">
                        <c:v>May
2022</c:v>
                      </c:pt>
                      <c:pt idx="5">
                        <c:v>June
2022</c:v>
                      </c:pt>
                      <c:pt idx="6">
                        <c:v>July
2022</c:v>
                      </c:pt>
                      <c:pt idx="7">
                        <c:v>August
2022</c:v>
                      </c:pt>
                      <c:pt idx="8">
                        <c:v>September
2022</c:v>
                      </c:pt>
                      <c:pt idx="9">
                        <c:v>October
2022</c:v>
                      </c:pt>
                      <c:pt idx="10">
                        <c:v>November
2022</c:v>
                      </c:pt>
                      <c:pt idx="11">
                        <c:v>December
2022</c:v>
                      </c:pt>
                      <c:pt idx="12">
                        <c:v>January
2023</c:v>
                      </c:pt>
                      <c:pt idx="13">
                        <c:v>Feburay
2023</c:v>
                      </c:pt>
                      <c:pt idx="14">
                        <c:v>March
2023</c:v>
                      </c:pt>
                      <c:pt idx="15">
                        <c:v>April
2023</c:v>
                      </c:pt>
                      <c:pt idx="16">
                        <c:v>May
2023</c:v>
                      </c:pt>
                      <c:pt idx="17">
                        <c:v>June
2023</c:v>
                      </c:pt>
                      <c:pt idx="18">
                        <c:v>July
2023</c:v>
                      </c:pt>
                      <c:pt idx="19">
                        <c:v>August
2023</c:v>
                      </c:pt>
                      <c:pt idx="20">
                        <c:v>September
2023</c:v>
                      </c:pt>
                      <c:pt idx="21">
                        <c:v>October
2023</c:v>
                      </c:pt>
                      <c:pt idx="22">
                        <c:v>November
2023</c:v>
                      </c:pt>
                      <c:pt idx="23">
                        <c:v>December
2023</c:v>
                      </c:pt>
                      <c:pt idx="24">
                        <c:v>January
2024</c:v>
                      </c:pt>
                      <c:pt idx="25">
                        <c:v>Feburay
2024</c:v>
                      </c:pt>
                      <c:pt idx="26">
                        <c:v>March
2024</c:v>
                      </c:pt>
                      <c:pt idx="27">
                        <c:v>April
2024</c:v>
                      </c:pt>
                      <c:pt idx="28">
                        <c:v>May
2024</c:v>
                      </c:pt>
                      <c:pt idx="29">
                        <c:v>June
2024</c:v>
                      </c:pt>
                      <c:pt idx="30">
                        <c:v>July
2024</c:v>
                      </c:pt>
                      <c:pt idx="31">
                        <c:v>August
2024</c:v>
                      </c:pt>
                      <c:pt idx="32">
                        <c:v>September
2024</c:v>
                      </c:pt>
                      <c:pt idx="33">
                        <c:v>October
2024</c:v>
                      </c:pt>
                      <c:pt idx="34">
                        <c:v>November
2024</c:v>
                      </c:pt>
                      <c:pt idx="35">
                        <c:v>December
2024</c:v>
                      </c:pt>
                      <c:pt idx="36">
                        <c:v>January
2025</c:v>
                      </c:pt>
                      <c:pt idx="37">
                        <c:v>Feburay
2025</c:v>
                      </c:pt>
                      <c:pt idx="38">
                        <c:v>March
2025</c:v>
                      </c:pt>
                      <c:pt idx="39">
                        <c:v>April
2025</c:v>
                      </c:pt>
                      <c:pt idx="40">
                        <c:v>May
2025</c:v>
                      </c:pt>
                      <c:pt idx="41">
                        <c:v>June
2025</c:v>
                      </c:pt>
                      <c:pt idx="42">
                        <c:v>July
2025</c:v>
                      </c:pt>
                      <c:pt idx="43">
                        <c:v>August
2025</c:v>
                      </c:pt>
                      <c:pt idx="44">
                        <c:v>September
2025</c:v>
                      </c:pt>
                      <c:pt idx="45">
                        <c:v>October
2025</c:v>
                      </c:pt>
                      <c:pt idx="46">
                        <c:v>November
2025</c:v>
                      </c:pt>
                      <c:pt idx="47">
                        <c:v>December
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'KPI-OnePager-new-2024'!$E$49:$E$96</c15:sqref>
                        </c15:formulaRef>
                      </c:ext>
                    </c:extLst>
                    <c:numCache>
                      <c:formatCode>#,##0</c:formatCode>
                      <c:ptCount val="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80.100000000000009</c:v>
                      </c:pt>
                      <c:pt idx="14">
                        <c:v>72</c:v>
                      </c:pt>
                      <c:pt idx="15">
                        <c:v>93.149999999999991</c:v>
                      </c:pt>
                      <c:pt idx="16">
                        <c:v>84.272727272727266</c:v>
                      </c:pt>
                      <c:pt idx="17">
                        <c:v>95.142857142857139</c:v>
                      </c:pt>
                      <c:pt idx="18">
                        <c:v>100.71428571428571</c:v>
                      </c:pt>
                      <c:pt idx="19">
                        <c:v>96</c:v>
                      </c:pt>
                      <c:pt idx="20">
                        <c:v>108</c:v>
                      </c:pt>
                      <c:pt idx="21">
                        <c:v>118.63636363636364</c:v>
                      </c:pt>
                      <c:pt idx="22">
                        <c:v>123.13636363636364</c:v>
                      </c:pt>
                      <c:pt idx="23">
                        <c:v>154.42105263157896</c:v>
                      </c:pt>
                      <c:pt idx="24">
                        <c:v>1629</c:v>
                      </c:pt>
                      <c:pt idx="25">
                        <c:v>3414</c:v>
                      </c:pt>
                      <c:pt idx="26">
                        <c:v>3482.5499999999997</c:v>
                      </c:pt>
                      <c:pt idx="27">
                        <c:v>3507.4285714285716</c:v>
                      </c:pt>
                      <c:pt idx="28">
                        <c:v>3317.5714285714284</c:v>
                      </c:pt>
                      <c:pt idx="29">
                        <c:v>3089.25</c:v>
                      </c:pt>
                      <c:pt idx="30">
                        <c:v>3076.434782608696</c:v>
                      </c:pt>
                      <c:pt idx="31">
                        <c:v>3117.8571428571431</c:v>
                      </c:pt>
                      <c:pt idx="32">
                        <c:v>3946.2857142857142</c:v>
                      </c:pt>
                      <c:pt idx="33">
                        <c:v>4491.782608695652</c:v>
                      </c:pt>
                      <c:pt idx="34">
                        <c:v>5586.3</c:v>
                      </c:pt>
                      <c:pt idx="35">
                        <c:v>4002.8571428571427</c:v>
                      </c:pt>
                      <c:pt idx="36">
                        <c:v>5127.4285714285706</c:v>
                      </c:pt>
                      <c:pt idx="37">
                        <c:v>4812.3</c:v>
                      </c:pt>
                      <c:pt idx="38">
                        <c:v>4596.8571428571431</c:v>
                      </c:pt>
                      <c:pt idx="39">
                        <c:v>4187.25</c:v>
                      </c:pt>
                      <c:pt idx="40">
                        <c:v>4196.5714285714284</c:v>
                      </c:pt>
                      <c:pt idx="41">
                        <c:v>3989.3684210526312</c:v>
                      </c:pt>
                      <c:pt idx="42">
                        <c:v>3906.782608695652</c:v>
                      </c:pt>
                      <c:pt idx="43">
                        <c:v>3614.6842105263158</c:v>
                      </c:pt>
                      <c:pt idx="44">
                        <c:v>3587.3181818181815</c:v>
                      </c:pt>
                      <c:pt idx="45">
                        <c:v>3062.7391304347825</c:v>
                      </c:pt>
                      <c:pt idx="46">
                        <c:v>3271.5</c:v>
                      </c:pt>
                      <c:pt idx="47">
                        <c:v>2898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5D8-4C30-9CFC-64358E9FAD6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'KPI-OnePager-new-2024'!$F$48</c15:sqref>
                        </c15:formulaRef>
                      </c:ext>
                    </c:extLst>
                    <c:strCache>
                      <c:ptCount val="1"/>
                      <c:pt idx="0">
                        <c:v>MA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'KPI-OnePager-new-2024'!$C$49:$C$96</c15:sqref>
                        </c15:formulaRef>
                      </c:ext>
                    </c:extLst>
                    <c:strCache>
                      <c:ptCount val="48"/>
                      <c:pt idx="0">
                        <c:v>January
2022</c:v>
                      </c:pt>
                      <c:pt idx="1">
                        <c:v>Feburay
2022</c:v>
                      </c:pt>
                      <c:pt idx="2">
                        <c:v>March
2022</c:v>
                      </c:pt>
                      <c:pt idx="3">
                        <c:v>April
2022</c:v>
                      </c:pt>
                      <c:pt idx="4">
                        <c:v>May
2022</c:v>
                      </c:pt>
                      <c:pt idx="5">
                        <c:v>June
2022</c:v>
                      </c:pt>
                      <c:pt idx="6">
                        <c:v>July
2022</c:v>
                      </c:pt>
                      <c:pt idx="7">
                        <c:v>August
2022</c:v>
                      </c:pt>
                      <c:pt idx="8">
                        <c:v>September
2022</c:v>
                      </c:pt>
                      <c:pt idx="9">
                        <c:v>October
2022</c:v>
                      </c:pt>
                      <c:pt idx="10">
                        <c:v>November
2022</c:v>
                      </c:pt>
                      <c:pt idx="11">
                        <c:v>December
2022</c:v>
                      </c:pt>
                      <c:pt idx="12">
                        <c:v>January
2023</c:v>
                      </c:pt>
                      <c:pt idx="13">
                        <c:v>Feburay
2023</c:v>
                      </c:pt>
                      <c:pt idx="14">
                        <c:v>March
2023</c:v>
                      </c:pt>
                      <c:pt idx="15">
                        <c:v>April
2023</c:v>
                      </c:pt>
                      <c:pt idx="16">
                        <c:v>May
2023</c:v>
                      </c:pt>
                      <c:pt idx="17">
                        <c:v>June
2023</c:v>
                      </c:pt>
                      <c:pt idx="18">
                        <c:v>July
2023</c:v>
                      </c:pt>
                      <c:pt idx="19">
                        <c:v>August
2023</c:v>
                      </c:pt>
                      <c:pt idx="20">
                        <c:v>September
2023</c:v>
                      </c:pt>
                      <c:pt idx="21">
                        <c:v>October
2023</c:v>
                      </c:pt>
                      <c:pt idx="22">
                        <c:v>November
2023</c:v>
                      </c:pt>
                      <c:pt idx="23">
                        <c:v>December
2023</c:v>
                      </c:pt>
                      <c:pt idx="24">
                        <c:v>January
2024</c:v>
                      </c:pt>
                      <c:pt idx="25">
                        <c:v>Feburay
2024</c:v>
                      </c:pt>
                      <c:pt idx="26">
                        <c:v>March
2024</c:v>
                      </c:pt>
                      <c:pt idx="27">
                        <c:v>April
2024</c:v>
                      </c:pt>
                      <c:pt idx="28">
                        <c:v>May
2024</c:v>
                      </c:pt>
                      <c:pt idx="29">
                        <c:v>June
2024</c:v>
                      </c:pt>
                      <c:pt idx="30">
                        <c:v>July
2024</c:v>
                      </c:pt>
                      <c:pt idx="31">
                        <c:v>August
2024</c:v>
                      </c:pt>
                      <c:pt idx="32">
                        <c:v>September
2024</c:v>
                      </c:pt>
                      <c:pt idx="33">
                        <c:v>October
2024</c:v>
                      </c:pt>
                      <c:pt idx="34">
                        <c:v>November
2024</c:v>
                      </c:pt>
                      <c:pt idx="35">
                        <c:v>December
2024</c:v>
                      </c:pt>
                      <c:pt idx="36">
                        <c:v>January
2025</c:v>
                      </c:pt>
                      <c:pt idx="37">
                        <c:v>Feburay
2025</c:v>
                      </c:pt>
                      <c:pt idx="38">
                        <c:v>March
2025</c:v>
                      </c:pt>
                      <c:pt idx="39">
                        <c:v>April
2025</c:v>
                      </c:pt>
                      <c:pt idx="40">
                        <c:v>May
2025</c:v>
                      </c:pt>
                      <c:pt idx="41">
                        <c:v>June
2025</c:v>
                      </c:pt>
                      <c:pt idx="42">
                        <c:v>July
2025</c:v>
                      </c:pt>
                      <c:pt idx="43">
                        <c:v>August
2025</c:v>
                      </c:pt>
                      <c:pt idx="44">
                        <c:v>September
2025</c:v>
                      </c:pt>
                      <c:pt idx="45">
                        <c:v>October
2025</c:v>
                      </c:pt>
                      <c:pt idx="46">
                        <c:v>November
2025</c:v>
                      </c:pt>
                      <c:pt idx="47">
                        <c:v>December
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'KPI-OnePager-new-2024'!$F$49:$F$96</c15:sqref>
                        </c15:formulaRef>
                      </c:ext>
                    </c:extLst>
                    <c:numCache>
                      <c:formatCode>#,##0</c:formatCode>
                      <c:ptCount val="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178</c:v>
                      </c:pt>
                      <c:pt idx="14">
                        <c:v>184</c:v>
                      </c:pt>
                      <c:pt idx="15">
                        <c:v>207</c:v>
                      </c:pt>
                      <c:pt idx="16">
                        <c:v>206</c:v>
                      </c:pt>
                      <c:pt idx="17">
                        <c:v>222</c:v>
                      </c:pt>
                      <c:pt idx="18">
                        <c:v>235</c:v>
                      </c:pt>
                      <c:pt idx="19">
                        <c:v>224</c:v>
                      </c:pt>
                      <c:pt idx="20">
                        <c:v>252</c:v>
                      </c:pt>
                      <c:pt idx="21">
                        <c:v>290</c:v>
                      </c:pt>
                      <c:pt idx="22">
                        <c:v>301</c:v>
                      </c:pt>
                      <c:pt idx="23">
                        <c:v>326</c:v>
                      </c:pt>
                      <c:pt idx="24">
                        <c:v>3982</c:v>
                      </c:pt>
                      <c:pt idx="25">
                        <c:v>7966</c:v>
                      </c:pt>
                      <c:pt idx="26">
                        <c:v>7739</c:v>
                      </c:pt>
                      <c:pt idx="27">
                        <c:v>8184</c:v>
                      </c:pt>
                      <c:pt idx="28">
                        <c:v>7741</c:v>
                      </c:pt>
                      <c:pt idx="29">
                        <c:v>6865</c:v>
                      </c:pt>
                      <c:pt idx="30">
                        <c:v>7862</c:v>
                      </c:pt>
                      <c:pt idx="31">
                        <c:v>7275</c:v>
                      </c:pt>
                      <c:pt idx="32">
                        <c:v>9208</c:v>
                      </c:pt>
                      <c:pt idx="33">
                        <c:v>11479</c:v>
                      </c:pt>
                      <c:pt idx="34">
                        <c:v>12414</c:v>
                      </c:pt>
                      <c:pt idx="35">
                        <c:v>9340</c:v>
                      </c:pt>
                      <c:pt idx="36">
                        <c:v>11964</c:v>
                      </c:pt>
                      <c:pt idx="37">
                        <c:v>10694</c:v>
                      </c:pt>
                      <c:pt idx="38">
                        <c:v>10726</c:v>
                      </c:pt>
                      <c:pt idx="39">
                        <c:v>9305</c:v>
                      </c:pt>
                      <c:pt idx="40">
                        <c:v>9792</c:v>
                      </c:pt>
                      <c:pt idx="41">
                        <c:v>8422</c:v>
                      </c:pt>
                      <c:pt idx="42">
                        <c:v>9984</c:v>
                      </c:pt>
                      <c:pt idx="43">
                        <c:v>7631</c:v>
                      </c:pt>
                      <c:pt idx="44">
                        <c:v>8769</c:v>
                      </c:pt>
                      <c:pt idx="45">
                        <c:v>7827</c:v>
                      </c:pt>
                      <c:pt idx="46">
                        <c:v>7270</c:v>
                      </c:pt>
                      <c:pt idx="47">
                        <c:v>6440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8-4C30-9CFC-64358E9FAD61}"/>
                  </c:ext>
                </c:extLst>
              </c15:ser>
            </c15:filteredLineSeries>
          </c:ext>
        </c:extLst>
      </c:lineChart>
      <c:catAx>
        <c:axId val="79128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60" b="1" i="0" u="none" strike="noStrike" kern="26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1280120"/>
        <c:crosses val="autoZero"/>
        <c:auto val="1"/>
        <c:lblAlgn val="ctr"/>
        <c:lblOffset val="100"/>
        <c:noMultiLvlLbl val="0"/>
      </c:catAx>
      <c:valAx>
        <c:axId val="79128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1282416"/>
        <c:crosses val="autoZero"/>
        <c:crossBetween val="between"/>
      </c:valAx>
      <c:valAx>
        <c:axId val="56636789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1594992"/>
        <c:crosses val="max"/>
        <c:crossBetween val="between"/>
      </c:valAx>
      <c:catAx>
        <c:axId val="78159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6367896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4032E79-9941-4D7E-B7AE-32BD7EDC0E3A}" type="doc">
      <dgm:prSet loTypeId="urn:microsoft.com/office/officeart/2005/8/layout/pyramid1" loCatId="pyramid" qsTypeId="urn:microsoft.com/office/officeart/2005/8/quickstyle/simple1" qsCatId="simple" csTypeId="urn:microsoft.com/office/officeart/2005/8/colors/accent1_2" csCatId="accent1" phldr="1"/>
      <dgm:spPr/>
    </dgm:pt>
    <dgm:pt modelId="{FEC4302E-E610-403D-B282-E01E62F10E7E}" type="pres">
      <dgm:prSet presAssocID="{04032E79-9941-4D7E-B7AE-32BD7EDC0E3A}" presName="Name0" presStyleCnt="0">
        <dgm:presLayoutVars>
          <dgm:dir/>
          <dgm:animLvl val="lvl"/>
          <dgm:resizeHandles val="exact"/>
        </dgm:presLayoutVars>
      </dgm:prSet>
      <dgm:spPr/>
    </dgm:pt>
  </dgm:ptLst>
  <dgm:cxnLst>
    <dgm:cxn modelId="{5B9FF058-BC48-43AB-81E2-6113AFDFB77C}" type="presOf" srcId="{04032E79-9941-4D7E-B7AE-32BD7EDC0E3A}" destId="{FEC4302E-E610-403D-B282-E01E62F10E7E}" srcOrd="0" destOrd="0" presId="urn:microsoft.com/office/officeart/2005/8/layout/pyramid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yramid1">
  <dgm:title val=""/>
  <dgm:desc val=""/>
  <dgm:catLst>
    <dgm:cat type="pyramid" pri="1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B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B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7" Type="http://schemas.openxmlformats.org/officeDocument/2006/relationships/image" Target="../media/image1.png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chart" Target="../charts/chart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728383</xdr:colOff>
      <xdr:row>29</xdr:row>
      <xdr:rowOff>644338</xdr:rowOff>
    </xdr:from>
    <xdr:to>
      <xdr:col>9</xdr:col>
      <xdr:colOff>210110</xdr:colOff>
      <xdr:row>38</xdr:row>
      <xdr:rowOff>434228</xdr:rowOff>
    </xdr:to>
    <xdr:sp macro="" textlink="">
      <xdr:nvSpPr>
        <xdr:cNvPr id="25" name="Line 10">
          <a:extLst>
            <a:ext uri="{FF2B5EF4-FFF2-40B4-BE49-F238E27FC236}">
              <a16:creationId xmlns:a16="http://schemas.microsoft.com/office/drawing/2014/main" id="{446C4707-1455-40ED-BCC2-16F475E86A0C}"/>
            </a:ext>
          </a:extLst>
        </xdr:cNvPr>
        <xdr:cNvSpPr>
          <a:spLocks noChangeShapeType="1"/>
        </xdr:cNvSpPr>
      </xdr:nvSpPr>
      <xdr:spPr bwMode="gray">
        <a:xfrm>
          <a:off x="9119908" y="14084113"/>
          <a:ext cx="1710577" cy="5123890"/>
        </a:xfrm>
        <a:prstGeom prst="line">
          <a:avLst/>
        </a:prstGeom>
        <a:noFill/>
        <a:ln w="0">
          <a:solidFill>
            <a:schemeClr val="tx1">
              <a:alpha val="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90000" tIns="46800" rIns="90000" bIns="4680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fontAlgn="base">
            <a:lnSpc>
              <a:spcPct val="110000"/>
            </a:lnSpc>
            <a:spcBef>
              <a:spcPct val="0"/>
            </a:spcBef>
            <a:spcAft>
              <a:spcPct val="30000"/>
            </a:spcAft>
          </a:pPr>
          <a:endParaRPr lang="de-DE" sz="1200">
            <a:ln>
              <a:noFill/>
            </a:ln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52</xdr:row>
      <xdr:rowOff>0</xdr:rowOff>
    </xdr:from>
    <xdr:to>
      <xdr:col>19</xdr:col>
      <xdr:colOff>612775</xdr:colOff>
      <xdr:row>53</xdr:row>
      <xdr:rowOff>0</xdr:rowOff>
    </xdr:to>
    <xdr:graphicFrame macro="">
      <xdr:nvGraphicFramePr>
        <xdr:cNvPr id="26" name="Diagramm 25">
          <a:extLst>
            <a:ext uri="{FF2B5EF4-FFF2-40B4-BE49-F238E27FC236}">
              <a16:creationId xmlns:a16="http://schemas.microsoft.com/office/drawing/2014/main" id="{28362E29-9D56-42DF-9D64-63E92F8DF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11</xdr:col>
      <xdr:colOff>502708</xdr:colOff>
      <xdr:row>7</xdr:row>
      <xdr:rowOff>6352</xdr:rowOff>
    </xdr:from>
    <xdr:to>
      <xdr:col>22</xdr:col>
      <xdr:colOff>280458</xdr:colOff>
      <xdr:row>18</xdr:row>
      <xdr:rowOff>529167</xdr:rowOff>
    </xdr:to>
    <xdr:graphicFrame macro="">
      <xdr:nvGraphicFramePr>
        <xdr:cNvPr id="28" name="Diagramm 27">
          <a:extLst>
            <a:ext uri="{FF2B5EF4-FFF2-40B4-BE49-F238E27FC236}">
              <a16:creationId xmlns:a16="http://schemas.microsoft.com/office/drawing/2014/main" id="{71F29B14-82C2-4318-B57F-D15BE4F2ECC1}"/>
            </a:ext>
            <a:ext uri="{147F2762-F138-4A5C-976F-8EAC2B608ADB}">
              <a16:predDERef xmlns:a16="http://schemas.microsoft.com/office/drawing/2014/main" pred="{5CCAD01E-0251-4AF6-910B-A4829CE2E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582085</xdr:colOff>
      <xdr:row>6</xdr:row>
      <xdr:rowOff>105834</xdr:rowOff>
    </xdr:from>
    <xdr:to>
      <xdr:col>11</xdr:col>
      <xdr:colOff>42335</xdr:colOff>
      <xdr:row>18</xdr:row>
      <xdr:rowOff>550332</xdr:rowOff>
    </xdr:to>
    <xdr:grpSp>
      <xdr:nvGrpSpPr>
        <xdr:cNvPr id="29" name="Gruppieren 28">
          <a:extLst>
            <a:ext uri="{FF2B5EF4-FFF2-40B4-BE49-F238E27FC236}">
              <a16:creationId xmlns:a16="http://schemas.microsoft.com/office/drawing/2014/main" id="{1994D3CD-54F0-4014-8C28-0F79CD38FCC7}"/>
            </a:ext>
          </a:extLst>
        </xdr:cNvPr>
        <xdr:cNvGrpSpPr/>
      </xdr:nvGrpSpPr>
      <xdr:grpSpPr>
        <a:xfrm>
          <a:off x="1182160" y="2483909"/>
          <a:ext cx="12277725" cy="6527798"/>
          <a:chOff x="1767898" y="1608867"/>
          <a:chExt cx="12533543" cy="7513506"/>
        </a:xfrm>
      </xdr:grpSpPr>
      <xdr:grpSp>
        <xdr:nvGrpSpPr>
          <xdr:cNvPr id="31" name="Gruppieren 30">
            <a:extLst>
              <a:ext uri="{FF2B5EF4-FFF2-40B4-BE49-F238E27FC236}">
                <a16:creationId xmlns:a16="http://schemas.microsoft.com/office/drawing/2014/main" id="{B17DE215-A4AA-7B80-D0A2-392D3ABE7A32}"/>
              </a:ext>
            </a:extLst>
          </xdr:cNvPr>
          <xdr:cNvGrpSpPr/>
        </xdr:nvGrpSpPr>
        <xdr:grpSpPr>
          <a:xfrm>
            <a:off x="1767898" y="1608867"/>
            <a:ext cx="12533543" cy="7513506"/>
            <a:chOff x="1767898" y="1608867"/>
            <a:chExt cx="12533543" cy="7513506"/>
          </a:xfrm>
        </xdr:grpSpPr>
        <xdr:sp macro="" textlink="">
          <xdr:nvSpPr>
            <xdr:cNvPr id="43" name="Trapezoid 42">
              <a:extLst>
                <a:ext uri="{FF2B5EF4-FFF2-40B4-BE49-F238E27FC236}">
                  <a16:creationId xmlns:a16="http://schemas.microsoft.com/office/drawing/2014/main" id="{2D889E70-3839-5207-D69E-55E84FC4DE17}"/>
                </a:ext>
              </a:extLst>
            </xdr:cNvPr>
            <xdr:cNvSpPr/>
          </xdr:nvSpPr>
          <xdr:spPr>
            <a:xfrm>
              <a:off x="4084112" y="6545279"/>
              <a:ext cx="6136891" cy="1318795"/>
            </a:xfrm>
            <a:prstGeom prst="trapezoid">
              <a:avLst>
                <a:gd name="adj" fmla="val 52308"/>
              </a:avLst>
            </a:prstGeom>
            <a:gradFill>
              <a:gsLst>
                <a:gs pos="55000">
                  <a:srgbClr val="FFFF00"/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de-CH" sz="1100"/>
            </a:p>
          </xdr:txBody>
        </xdr:sp>
        <xdr:sp macro="" textlink="">
          <xdr:nvSpPr>
            <xdr:cNvPr id="44" name="Trapezoid 43">
              <a:extLst>
                <a:ext uri="{FF2B5EF4-FFF2-40B4-BE49-F238E27FC236}">
                  <a16:creationId xmlns:a16="http://schemas.microsoft.com/office/drawing/2014/main" id="{25C3183F-87C8-5B96-CB24-D60ACC5575C0}"/>
                </a:ext>
              </a:extLst>
            </xdr:cNvPr>
            <xdr:cNvSpPr/>
          </xdr:nvSpPr>
          <xdr:spPr>
            <a:xfrm>
              <a:off x="3542941" y="8456925"/>
              <a:ext cx="7175939" cy="653350"/>
            </a:xfrm>
            <a:prstGeom prst="trapezoid">
              <a:avLst>
                <a:gd name="adj" fmla="val 50291"/>
              </a:avLst>
            </a:prstGeom>
            <a:solidFill>
              <a:schemeClr val="bg1">
                <a:lumMod val="85000"/>
              </a:schemeClr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de-CH" sz="1100"/>
            </a:p>
          </xdr:txBody>
        </xdr:sp>
        <xdr:sp macro="" textlink="">
          <xdr:nvSpPr>
            <xdr:cNvPr id="45" name="AutoShape 8">
              <a:extLst>
                <a:ext uri="{FF2B5EF4-FFF2-40B4-BE49-F238E27FC236}">
                  <a16:creationId xmlns:a16="http://schemas.microsoft.com/office/drawing/2014/main" id="{A9BE0E6F-ED17-0FB1-ADB8-DE14B6E47A34}"/>
                </a:ext>
              </a:extLst>
            </xdr:cNvPr>
            <xdr:cNvSpPr>
              <a:spLocks noChangeArrowheads="1"/>
            </xdr:cNvSpPr>
          </xdr:nvSpPr>
          <xdr:spPr bwMode="gray">
            <a:xfrm>
              <a:off x="4592816" y="1608867"/>
              <a:ext cx="5097840" cy="5117896"/>
            </a:xfrm>
            <a:prstGeom prst="triangle">
              <a:avLst>
                <a:gd name="adj" fmla="val 50000"/>
              </a:avLst>
            </a:prstGeom>
            <a:gradFill rotWithShape="1">
              <a:gsLst>
                <a:gs pos="0">
                  <a:srgbClr val="E60D2E"/>
                </a:gs>
                <a:gs pos="100000">
                  <a:srgbClr val="FF9900"/>
                </a:gs>
              </a:gsLst>
              <a:lin ang="5400000" scaled="1"/>
            </a:gradFill>
            <a:ln w="6350" algn="ctr">
              <a:noFill/>
              <a:miter lim="800000"/>
              <a:headEnd/>
              <a:tailEnd/>
            </a:ln>
          </xdr:spPr>
          <xdr:txBody>
            <a:bodyPr wrap="square" lIns="68400" tIns="35568" rIns="68400" bIns="35568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46" name="Line 18">
              <a:extLst>
                <a:ext uri="{FF2B5EF4-FFF2-40B4-BE49-F238E27FC236}">
                  <a16:creationId xmlns:a16="http://schemas.microsoft.com/office/drawing/2014/main" id="{4A00E4BF-7125-5F43-A895-4039A05BD393}"/>
                </a:ext>
              </a:extLst>
            </xdr:cNvPr>
            <xdr:cNvSpPr>
              <a:spLocks noChangeShapeType="1"/>
            </xdr:cNvSpPr>
          </xdr:nvSpPr>
          <xdr:spPr bwMode="gray">
            <a:xfrm flipV="1">
              <a:off x="1811191" y="5928226"/>
              <a:ext cx="12468602" cy="24200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47" name="Trapezoid 46">
              <a:extLst>
                <a:ext uri="{FF2B5EF4-FFF2-40B4-BE49-F238E27FC236}">
                  <a16:creationId xmlns:a16="http://schemas.microsoft.com/office/drawing/2014/main" id="{6D201456-F187-BC45-8018-432F318B3FF2}"/>
                </a:ext>
              </a:extLst>
            </xdr:cNvPr>
            <xdr:cNvSpPr/>
          </xdr:nvSpPr>
          <xdr:spPr>
            <a:xfrm>
              <a:off x="3802702" y="7815679"/>
              <a:ext cx="6656417" cy="689643"/>
            </a:xfrm>
            <a:prstGeom prst="trapezoid">
              <a:avLst>
                <a:gd name="adj" fmla="val 45990"/>
              </a:avLst>
            </a:prstGeom>
            <a:gradFill>
              <a:gsLst>
                <a:gs pos="0">
                  <a:srgbClr val="FFFF00"/>
                </a:gs>
                <a:gs pos="0">
                  <a:srgbClr val="00B050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de-CH" sz="1100"/>
            </a:p>
          </xdr:txBody>
        </xdr:sp>
        <xdr:sp macro="" textlink="">
          <xdr:nvSpPr>
            <xdr:cNvPr id="48" name="Line 13">
              <a:extLst>
                <a:ext uri="{FF2B5EF4-FFF2-40B4-BE49-F238E27FC236}">
                  <a16:creationId xmlns:a16="http://schemas.microsoft.com/office/drawing/2014/main" id="{D87822B7-6373-3CF1-3B7D-35DE86B54F44}"/>
                </a:ext>
              </a:extLst>
            </xdr:cNvPr>
            <xdr:cNvSpPr>
              <a:spLocks noChangeShapeType="1"/>
            </xdr:cNvSpPr>
          </xdr:nvSpPr>
          <xdr:spPr bwMode="gray">
            <a:xfrm flipV="1">
              <a:off x="1778721" y="7198626"/>
              <a:ext cx="12522720" cy="24200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49" name="Line 9">
              <a:extLst>
                <a:ext uri="{FF2B5EF4-FFF2-40B4-BE49-F238E27FC236}">
                  <a16:creationId xmlns:a16="http://schemas.microsoft.com/office/drawing/2014/main" id="{3CC09723-7CCA-320E-12B7-7670775CD5D7}"/>
                </a:ext>
              </a:extLst>
            </xdr:cNvPr>
            <xdr:cNvSpPr>
              <a:spLocks noChangeShapeType="1"/>
            </xdr:cNvSpPr>
          </xdr:nvSpPr>
          <xdr:spPr bwMode="gray">
            <a:xfrm flipV="1">
              <a:off x="1822014" y="3363225"/>
              <a:ext cx="12468602" cy="12101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50" name="Line 10">
              <a:extLst>
                <a:ext uri="{FF2B5EF4-FFF2-40B4-BE49-F238E27FC236}">
                  <a16:creationId xmlns:a16="http://schemas.microsoft.com/office/drawing/2014/main" id="{490B7040-3FE2-6D89-B76F-4D966F3C336D}"/>
                </a:ext>
              </a:extLst>
            </xdr:cNvPr>
            <xdr:cNvSpPr>
              <a:spLocks noChangeShapeType="1"/>
            </xdr:cNvSpPr>
          </xdr:nvSpPr>
          <xdr:spPr bwMode="gray">
            <a:xfrm flipV="1">
              <a:off x="1767898" y="3992379"/>
              <a:ext cx="12522718" cy="24197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51" name="Line 11">
              <a:extLst>
                <a:ext uri="{FF2B5EF4-FFF2-40B4-BE49-F238E27FC236}">
                  <a16:creationId xmlns:a16="http://schemas.microsoft.com/office/drawing/2014/main" id="{84839B2D-C3EE-FEFE-0540-A33BC797FD8D}"/>
                </a:ext>
              </a:extLst>
            </xdr:cNvPr>
            <xdr:cNvSpPr>
              <a:spLocks noChangeShapeType="1"/>
            </xdr:cNvSpPr>
          </xdr:nvSpPr>
          <xdr:spPr bwMode="gray">
            <a:xfrm flipV="1">
              <a:off x="1811191" y="4633627"/>
              <a:ext cx="12468602" cy="24198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52" name="Line 12">
              <a:extLst>
                <a:ext uri="{FF2B5EF4-FFF2-40B4-BE49-F238E27FC236}">
                  <a16:creationId xmlns:a16="http://schemas.microsoft.com/office/drawing/2014/main" id="{5FAF8CF3-B492-152A-3B84-295DFF949853}"/>
                </a:ext>
              </a:extLst>
            </xdr:cNvPr>
            <xdr:cNvSpPr>
              <a:spLocks noChangeShapeType="1"/>
            </xdr:cNvSpPr>
          </xdr:nvSpPr>
          <xdr:spPr bwMode="gray">
            <a:xfrm flipV="1">
              <a:off x="1778720" y="6569473"/>
              <a:ext cx="12490250" cy="12101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cxnSp macro="">
          <xdr:nvCxnSpPr>
            <xdr:cNvPr id="53" name="Gerade Verbindung 18444">
              <a:extLst>
                <a:ext uri="{FF2B5EF4-FFF2-40B4-BE49-F238E27FC236}">
                  <a16:creationId xmlns:a16="http://schemas.microsoft.com/office/drawing/2014/main" id="{E403F82D-9263-8AE5-0E32-69F5879F79E2}"/>
                </a:ext>
              </a:extLst>
            </xdr:cNvPr>
            <xdr:cNvCxnSpPr/>
          </xdr:nvCxnSpPr>
          <xdr:spPr bwMode="auto">
            <a:xfrm>
              <a:off x="1832838" y="8456928"/>
              <a:ext cx="12425307" cy="72594"/>
            </a:xfrm>
            <a:prstGeom prst="line">
              <a:avLst/>
            </a:prstGeom>
            <a:solidFill>
              <a:schemeClr val="bg1"/>
            </a:solidFill>
            <a:ln w="2857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54" name="Line 13">
              <a:extLst>
                <a:ext uri="{FF2B5EF4-FFF2-40B4-BE49-F238E27FC236}">
                  <a16:creationId xmlns:a16="http://schemas.microsoft.com/office/drawing/2014/main" id="{5CF0FE10-687B-BE41-CBAF-7B7C755FECB1}"/>
                </a:ext>
              </a:extLst>
            </xdr:cNvPr>
            <xdr:cNvSpPr>
              <a:spLocks noChangeShapeType="1"/>
            </xdr:cNvSpPr>
          </xdr:nvSpPr>
          <xdr:spPr bwMode="gray">
            <a:xfrm>
              <a:off x="1832839" y="9110274"/>
              <a:ext cx="12403662" cy="12099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55" name="Line 13">
              <a:extLst>
                <a:ext uri="{FF2B5EF4-FFF2-40B4-BE49-F238E27FC236}">
                  <a16:creationId xmlns:a16="http://schemas.microsoft.com/office/drawing/2014/main" id="{E379C32A-5C53-3053-1A4B-690070237CE9}"/>
                </a:ext>
              </a:extLst>
            </xdr:cNvPr>
            <xdr:cNvSpPr>
              <a:spLocks noChangeShapeType="1"/>
            </xdr:cNvSpPr>
          </xdr:nvSpPr>
          <xdr:spPr bwMode="gray">
            <a:xfrm flipV="1">
              <a:off x="1778721" y="7839875"/>
              <a:ext cx="12511895" cy="24196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56" name="Line 11">
              <a:extLst>
                <a:ext uri="{FF2B5EF4-FFF2-40B4-BE49-F238E27FC236}">
                  <a16:creationId xmlns:a16="http://schemas.microsoft.com/office/drawing/2014/main" id="{F26F1FA4-1016-C14C-8F09-ECCFE6CBF48B}"/>
                </a:ext>
              </a:extLst>
            </xdr:cNvPr>
            <xdr:cNvSpPr>
              <a:spLocks noChangeShapeType="1"/>
            </xdr:cNvSpPr>
          </xdr:nvSpPr>
          <xdr:spPr bwMode="gray">
            <a:xfrm>
              <a:off x="1811192" y="5274877"/>
              <a:ext cx="12436132" cy="12100"/>
            </a:xfrm>
            <a:prstGeom prst="line">
              <a:avLst/>
            </a:prstGeom>
            <a:noFill/>
            <a:ln w="28575">
              <a:solidFill>
                <a:schemeClr val="tx1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90000" tIns="46800" rIns="90000" bIns="4680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de-DE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2" name="Canvas 16">
            <a:extLst>
              <a:ext uri="{FF2B5EF4-FFF2-40B4-BE49-F238E27FC236}">
                <a16:creationId xmlns:a16="http://schemas.microsoft.com/office/drawing/2014/main" id="{F592EDCA-41F8-1AC9-98F3-2A11D08234F7}"/>
              </a:ext>
            </a:extLst>
          </xdr:cNvPr>
          <xdr:cNvGrpSpPr>
            <a:grpSpLocks/>
          </xdr:cNvGrpSpPr>
        </xdr:nvGrpSpPr>
        <xdr:grpSpPr bwMode="auto">
          <a:xfrm>
            <a:off x="1800368" y="1936749"/>
            <a:ext cx="6603361" cy="7161428"/>
            <a:chOff x="39766" y="0"/>
            <a:chExt cx="4852099" cy="3635329"/>
          </a:xfrm>
        </xdr:grpSpPr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5B393A0A-B2D5-79D0-D10F-F0FB15FFB9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766" y="0"/>
              <a:ext cx="4284584" cy="363532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0000"/>
                </a:lnSpc>
                <a:spcBef>
                  <a:spcPct val="0"/>
                </a:spcBef>
                <a:spcAft>
                  <a:spcPct val="30000"/>
                </a:spcAft>
              </a:pPr>
              <a:endParaRPr lang="en-GB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EE3C2C4E-D4A8-3055-3A35-99D1489766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17171" y="403871"/>
              <a:ext cx="725111" cy="17651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36000" tIns="36000" rIns="36000" bIns="36000">
              <a:sp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r>
                <a:rPr lang="en-US" sz="1600" b="1">
                  <a:solidFill>
                    <a:schemeClr val="tx1"/>
                  </a:solidFill>
                  <a:latin typeface="+mn-lt"/>
                  <a:cs typeface="Arial" panose="020B0604020202020204" pitchFamily="34" charset="0"/>
                </a:rPr>
                <a:t>Fatalities</a:t>
              </a:r>
              <a:endParaRPr lang="en-GB" sz="1600" b="1">
                <a:solidFill>
                  <a:schemeClr val="tx1"/>
                </a:solidFill>
                <a:latin typeface="+mn-lt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3CCB9F91-6D4E-EAC0-0589-24064DDC3EF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53452" y="786246"/>
              <a:ext cx="1513769" cy="17831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36000" tIns="36000" rIns="36000" bIns="36000">
              <a:sp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r>
                <a:rPr lang="en-US" sz="1600" b="1">
                  <a:solidFill>
                    <a:schemeClr val="tx1"/>
                  </a:solidFill>
                  <a:latin typeface="+mn-lt"/>
                  <a:cs typeface="Arial" panose="020B0604020202020204" pitchFamily="34" charset="0"/>
                </a:rPr>
                <a:t>Lost Time Incidents </a:t>
              </a:r>
              <a:endParaRPr lang="en-GB" sz="1600" b="1">
                <a:solidFill>
                  <a:schemeClr val="tx1"/>
                </a:solidFill>
                <a:latin typeface="+mn-lt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6" name="Rectangle 37">
              <a:extLst>
                <a:ext uri="{FF2B5EF4-FFF2-40B4-BE49-F238E27FC236}">
                  <a16:creationId xmlns:a16="http://schemas.microsoft.com/office/drawing/2014/main" id="{78E2F312-709F-8A57-A617-9A2D8C7FC6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45523" y="1090344"/>
              <a:ext cx="990855" cy="1876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36000" tIns="36000" rIns="36000" bIns="36000"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r>
                <a:rPr lang="en-US" sz="1600" b="1">
                  <a:solidFill>
                    <a:schemeClr val="tx1"/>
                  </a:solidFill>
                  <a:latin typeface="+mn-lt"/>
                  <a:cs typeface="Arial" panose="020B0604020202020204" pitchFamily="34" charset="0"/>
                </a:rPr>
                <a:t>Recordable</a:t>
              </a:r>
              <a:endParaRPr lang="en-GB" sz="1400" b="1">
                <a:solidFill>
                  <a:schemeClr val="tx1"/>
                </a:solidFill>
                <a:latin typeface="+mn-lt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7" name="Rectangle 40">
              <a:extLst>
                <a:ext uri="{FF2B5EF4-FFF2-40B4-BE49-F238E27FC236}">
                  <a16:creationId xmlns:a16="http://schemas.microsoft.com/office/drawing/2014/main" id="{04846AD0-82F5-30AA-61D5-B8C32DACD3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50052" y="1769415"/>
              <a:ext cx="1541813" cy="17651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36000" tIns="36000" rIns="36000" bIns="36000">
              <a:sp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r>
                <a:rPr lang="en-US" sz="1600" b="1">
                  <a:solidFill>
                    <a:schemeClr val="tx1"/>
                  </a:solidFill>
                  <a:latin typeface="+mn-lt"/>
                  <a:cs typeface="Arial" panose="020B0604020202020204" pitchFamily="34" charset="0"/>
                </a:rPr>
                <a:t>Property</a:t>
              </a:r>
              <a:r>
                <a:rPr lang="en-US" sz="1600" b="1">
                  <a:solidFill>
                    <a:srgbClr val="45637A"/>
                  </a:solidFill>
                  <a:latin typeface="+mn-lt"/>
                  <a:cs typeface="Arial" panose="020B0604020202020204" pitchFamily="34" charset="0"/>
                </a:rPr>
                <a:t> </a:t>
              </a:r>
              <a:r>
                <a:rPr lang="en-US" sz="1600" b="1">
                  <a:solidFill>
                    <a:schemeClr val="tx1"/>
                  </a:solidFill>
                  <a:latin typeface="+mn-lt"/>
                  <a:cs typeface="Arial" panose="020B0604020202020204" pitchFamily="34" charset="0"/>
                </a:rPr>
                <a:t>Damage</a:t>
              </a:r>
              <a:endParaRPr lang="en-GB" sz="1600">
                <a:solidFill>
                  <a:schemeClr val="tx1"/>
                </a:solidFill>
                <a:latin typeface="+mn-lt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8" name="Rectangle 42">
              <a:extLst>
                <a:ext uri="{FF2B5EF4-FFF2-40B4-BE49-F238E27FC236}">
                  <a16:creationId xmlns:a16="http://schemas.microsoft.com/office/drawing/2014/main" id="{B70D868E-06C4-4976-50D1-5192770BE8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21330" y="1507490"/>
              <a:ext cx="65" cy="1943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0" tIns="0" rIns="0" bIns="0">
              <a:sp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endParaRPr lang="en-GB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9" name="Rectangle 43">
              <a:extLst>
                <a:ext uri="{FF2B5EF4-FFF2-40B4-BE49-F238E27FC236}">
                  <a16:creationId xmlns:a16="http://schemas.microsoft.com/office/drawing/2014/main" id="{514895F4-56D3-7EBE-4304-421B7E8308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57509" y="2106642"/>
              <a:ext cx="1075147" cy="17651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36000" tIns="36000" rIns="36000" bIns="36000">
              <a:sp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r>
                <a:rPr lang="en-US" sz="1600" b="1">
                  <a:solidFill>
                    <a:schemeClr val="tx1"/>
                  </a:solidFill>
                  <a:latin typeface="+mn-lt"/>
                  <a:cs typeface="Arial" panose="020B0604020202020204" pitchFamily="34" charset="0"/>
                </a:rPr>
                <a:t>First Aid</a:t>
              </a:r>
              <a:endParaRPr lang="en-GB" sz="1600" b="1">
                <a:solidFill>
                  <a:schemeClr val="tx1"/>
                </a:solidFill>
                <a:latin typeface="+mn-lt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40" name="Rectangle 45">
              <a:extLst>
                <a:ext uri="{FF2B5EF4-FFF2-40B4-BE49-F238E27FC236}">
                  <a16:creationId xmlns:a16="http://schemas.microsoft.com/office/drawing/2014/main" id="{8377750C-6F4A-4816-4F71-5714B788B9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76755" y="1971040"/>
              <a:ext cx="65" cy="1943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0" tIns="0" rIns="0" bIns="0">
              <a:sp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endParaRPr lang="en-GB" sz="120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41" name="Rectangle 46">
              <a:extLst>
                <a:ext uri="{FF2B5EF4-FFF2-40B4-BE49-F238E27FC236}">
                  <a16:creationId xmlns:a16="http://schemas.microsoft.com/office/drawing/2014/main" id="{D2CF9140-2AA3-ACEC-5D33-94403DC635F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79176" y="2432233"/>
              <a:ext cx="1027744" cy="15262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36000" tIns="36000" rIns="36000" bIns="36000"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r>
                <a:rPr lang="en-US" sz="1600" b="1">
                  <a:solidFill>
                    <a:schemeClr val="tx1"/>
                  </a:solidFill>
                  <a:latin typeface="+mn-lt"/>
                  <a:cs typeface="Arial" panose="020B0604020202020204" pitchFamily="34" charset="0"/>
                </a:rPr>
                <a:t>Near misses</a:t>
              </a:r>
              <a:endParaRPr lang="en-GB" sz="1600">
                <a:solidFill>
                  <a:schemeClr val="tx1"/>
                </a:solidFill>
                <a:latin typeface="+mn-lt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42" name="Rectangle 47">
              <a:extLst>
                <a:ext uri="{FF2B5EF4-FFF2-40B4-BE49-F238E27FC236}">
                  <a16:creationId xmlns:a16="http://schemas.microsoft.com/office/drawing/2014/main" id="{96367B64-11E1-1DC5-CB4A-7FDBCE09DB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45631" y="3402177"/>
              <a:ext cx="1558687" cy="1813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lIns="36000" tIns="36000" rIns="36000" bIns="36000"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lnSpc>
                  <a:spcPct val="115000"/>
                </a:lnSpc>
                <a:spcBef>
                  <a:spcPct val="0"/>
                </a:spcBef>
                <a:spcAft>
                  <a:spcPts val="1000"/>
                </a:spcAft>
              </a:pPr>
              <a:r>
                <a:rPr lang="en-US" sz="1600" b="1">
                  <a:solidFill>
                    <a:schemeClr val="tx1"/>
                  </a:solidFill>
                  <a:latin typeface="+mn-lt"/>
                  <a:cs typeface="Arial" panose="020B0604020202020204" pitchFamily="34" charset="0"/>
                </a:rPr>
                <a:t>Safety Observations</a:t>
              </a:r>
              <a:endParaRPr lang="en-GB" sz="1600" b="1">
                <a:solidFill>
                  <a:schemeClr val="tx1"/>
                </a:solidFill>
                <a:latin typeface="+mn-lt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5</xdr:col>
      <xdr:colOff>444502</xdr:colOff>
      <xdr:row>12</xdr:row>
      <xdr:rowOff>74084</xdr:rowOff>
    </xdr:from>
    <xdr:to>
      <xdr:col>6</xdr:col>
      <xdr:colOff>683382</xdr:colOff>
      <xdr:row>12</xdr:row>
      <xdr:rowOff>370418</xdr:rowOff>
    </xdr:to>
    <xdr:sp macro="" textlink="">
      <xdr:nvSpPr>
        <xdr:cNvPr id="57" name="Rectangle 40">
          <a:extLst>
            <a:ext uri="{FF2B5EF4-FFF2-40B4-BE49-F238E27FC236}">
              <a16:creationId xmlns:a16="http://schemas.microsoft.com/office/drawing/2014/main" id="{0CA52F8B-158C-41D7-BE8D-1ACDC0DF86F5}"/>
            </a:ext>
          </a:extLst>
        </xdr:cNvPr>
        <xdr:cNvSpPr>
          <a:spLocks noChangeArrowheads="1"/>
        </xdr:cNvSpPr>
      </xdr:nvSpPr>
      <xdr:spPr bwMode="auto">
        <a:xfrm>
          <a:off x="5789085" y="5217584"/>
          <a:ext cx="1773464" cy="2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36000" tIns="36000" rIns="36000" bIns="36000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base">
            <a:lnSpc>
              <a:spcPct val="115000"/>
            </a:lnSpc>
            <a:spcBef>
              <a:spcPct val="0"/>
            </a:spcBef>
            <a:spcAft>
              <a:spcPts val="1000"/>
            </a:spcAft>
          </a:pPr>
          <a:r>
            <a:rPr lang="en-US" sz="1600" b="1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Environment</a:t>
          </a:r>
          <a:r>
            <a:rPr lang="en-US" sz="1600" b="1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  <a:endParaRPr lang="en-GB" sz="1600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275168</xdr:colOff>
      <xdr:row>16</xdr:row>
      <xdr:rowOff>116418</xdr:rowOff>
    </xdr:from>
    <xdr:to>
      <xdr:col>6</xdr:col>
      <xdr:colOff>399211</xdr:colOff>
      <xdr:row>16</xdr:row>
      <xdr:rowOff>491404</xdr:rowOff>
    </xdr:to>
    <xdr:sp macro="" textlink="">
      <xdr:nvSpPr>
        <xdr:cNvPr id="58" name="Rectangle 47">
          <a:extLst>
            <a:ext uri="{FF2B5EF4-FFF2-40B4-BE49-F238E27FC236}">
              <a16:creationId xmlns:a16="http://schemas.microsoft.com/office/drawing/2014/main" id="{40204D5B-9079-480E-8237-25DD2FAABE70}"/>
            </a:ext>
          </a:extLst>
        </xdr:cNvPr>
        <xdr:cNvSpPr>
          <a:spLocks noChangeArrowheads="1"/>
        </xdr:cNvSpPr>
      </xdr:nvSpPr>
      <xdr:spPr bwMode="auto">
        <a:xfrm>
          <a:off x="5619751" y="7503585"/>
          <a:ext cx="1658627" cy="374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36000" tIns="36000" rIns="36000" bIns="36000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base">
            <a:lnSpc>
              <a:spcPct val="115000"/>
            </a:lnSpc>
            <a:spcBef>
              <a:spcPct val="0"/>
            </a:spcBef>
            <a:spcAft>
              <a:spcPts val="1000"/>
            </a:spcAft>
          </a:pPr>
          <a:r>
            <a:rPr lang="en-US" sz="1600" b="1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Unsafe Behavior</a:t>
          </a:r>
          <a:endParaRPr lang="en-GB" sz="1600" b="1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211667</xdr:colOff>
      <xdr:row>17</xdr:row>
      <xdr:rowOff>105834</xdr:rowOff>
    </xdr:from>
    <xdr:to>
      <xdr:col>6</xdr:col>
      <xdr:colOff>302794</xdr:colOff>
      <xdr:row>17</xdr:row>
      <xdr:rowOff>447700</xdr:rowOff>
    </xdr:to>
    <xdr:sp macro="" textlink="">
      <xdr:nvSpPr>
        <xdr:cNvPr id="59" name="Rectangle 47">
          <a:extLst>
            <a:ext uri="{FF2B5EF4-FFF2-40B4-BE49-F238E27FC236}">
              <a16:creationId xmlns:a16="http://schemas.microsoft.com/office/drawing/2014/main" id="{F5C94E64-0E33-46B6-8379-7DF4C0BA552C}"/>
            </a:ext>
          </a:extLst>
        </xdr:cNvPr>
        <xdr:cNvSpPr>
          <a:spLocks noChangeArrowheads="1"/>
        </xdr:cNvSpPr>
      </xdr:nvSpPr>
      <xdr:spPr bwMode="auto">
        <a:xfrm>
          <a:off x="5556250" y="8053917"/>
          <a:ext cx="1625711" cy="341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36000" tIns="36000" rIns="36000" bIns="36000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base">
            <a:lnSpc>
              <a:spcPct val="115000"/>
            </a:lnSpc>
            <a:spcBef>
              <a:spcPct val="0"/>
            </a:spcBef>
            <a:spcAft>
              <a:spcPts val="1000"/>
            </a:spcAft>
          </a:pPr>
          <a:r>
            <a:rPr lang="en-US" sz="1600" b="1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Unsafe Condition</a:t>
          </a:r>
          <a:endParaRPr lang="en-GB" sz="1600" b="1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15</xdr:col>
      <xdr:colOff>80912</xdr:colOff>
      <xdr:row>23</xdr:row>
      <xdr:rowOff>84666</xdr:rowOff>
    </xdr:from>
    <xdr:to>
      <xdr:col>30</xdr:col>
      <xdr:colOff>972402</xdr:colOff>
      <xdr:row>41</xdr:row>
      <xdr:rowOff>429682</xdr:rowOff>
    </xdr:to>
    <xdr:pic>
      <xdr:nvPicPr>
        <xdr:cNvPr id="64" name="Grafik 63">
          <a:extLst>
            <a:ext uri="{FF2B5EF4-FFF2-40B4-BE49-F238E27FC236}">
              <a16:creationId xmlns:a16="http://schemas.microsoft.com/office/drawing/2014/main" id="{3A1AEF51-D234-4CBE-B33F-9A6EBEE21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69329" y="10212916"/>
          <a:ext cx="15940990" cy="97578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onzagroup-my.sharepoint.com/Users/adohle/Documents/for%20Philipp/New-for-SharPoint/210412-Zwischenfallliste%20EHS-V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arbeitungshinweise"/>
      <sheetName val="EHS Zwischenfallliste"/>
      <sheetName val="Drop Dow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39A0-F188-4FE9-9A62-FCF117699C8F}">
  <sheetPr>
    <tabColor rgb="FF00B050"/>
    <pageSetUpPr fitToPage="1"/>
  </sheetPr>
  <dimension ref="A2:AG140"/>
  <sheetViews>
    <sheetView showGridLines="0" tabSelected="1" view="pageLayout" zoomScale="60" zoomScaleNormal="60" zoomScaleSheetLayoutView="40" zoomScalePageLayoutView="60" workbookViewId="0">
      <selection activeCell="C3" sqref="C3:D3"/>
    </sheetView>
  </sheetViews>
  <sheetFormatPr baseColWidth="10" defaultColWidth="11.453125" defaultRowHeight="14.5"/>
  <cols>
    <col min="1" max="2" width="8.54296875" customWidth="1"/>
    <col min="3" max="3" width="16.453125" style="1" customWidth="1"/>
    <col min="4" max="4" width="17.453125" customWidth="1"/>
    <col min="5" max="5" width="23.453125" customWidth="1"/>
    <col min="6" max="7" width="21.453125" customWidth="1"/>
    <col min="8" max="8" width="14.453125" customWidth="1"/>
    <col min="9" max="9" width="16.54296875" customWidth="1"/>
    <col min="10" max="11" width="19.453125" customWidth="1"/>
    <col min="12" max="12" width="10.81640625" customWidth="1"/>
    <col min="13" max="13" width="13.1796875" customWidth="1"/>
    <col min="14" max="14" width="20.54296875" customWidth="1"/>
    <col min="15" max="15" width="14.453125" customWidth="1"/>
    <col min="16" max="16" width="17.453125" customWidth="1"/>
    <col min="17" max="17" width="15.54296875" customWidth="1"/>
    <col min="18" max="18" width="14.453125" customWidth="1"/>
    <col min="19" max="19" width="11" customWidth="1"/>
    <col min="20" max="20" width="11.1796875" customWidth="1"/>
    <col min="21" max="21" width="16.453125" customWidth="1"/>
    <col min="22" max="22" width="29.453125" customWidth="1"/>
    <col min="23" max="23" width="17.1796875" customWidth="1"/>
    <col min="24" max="24" width="13" customWidth="1"/>
    <col min="25" max="26" width="11" customWidth="1"/>
    <col min="27" max="27" width="10.54296875" customWidth="1"/>
    <col min="28" max="28" width="15" customWidth="1"/>
    <col min="29" max="29" width="10.54296875" customWidth="1"/>
    <col min="30" max="30" width="6.81640625" customWidth="1"/>
    <col min="31" max="31" width="21.54296875" customWidth="1"/>
    <col min="32" max="32" width="10.54296875" customWidth="1"/>
    <col min="33" max="33" width="6.81640625" customWidth="1"/>
  </cols>
  <sheetData>
    <row r="2" spans="1:31" ht="50.25" customHeight="1" thickBot="1">
      <c r="H2" s="260" t="s">
        <v>0</v>
      </c>
      <c r="I2" s="260"/>
      <c r="J2" s="260"/>
      <c r="K2" s="260"/>
      <c r="L2" s="260"/>
      <c r="M2" s="260"/>
      <c r="N2" s="260"/>
      <c r="O2" s="260"/>
      <c r="P2" s="260"/>
      <c r="Q2" s="260"/>
    </row>
    <row r="3" spans="1:31" ht="45.75" customHeight="1" thickBot="1">
      <c r="A3" s="290" t="s">
        <v>1</v>
      </c>
      <c r="B3" s="290"/>
      <c r="C3" s="291"/>
      <c r="D3" s="291"/>
      <c r="E3" s="2"/>
      <c r="F3" s="3" t="s">
        <v>2</v>
      </c>
      <c r="G3" s="292">
        <v>45992</v>
      </c>
      <c r="H3" s="292"/>
      <c r="I3" s="4"/>
      <c r="J3" s="5"/>
      <c r="K3" s="5"/>
      <c r="L3" s="5"/>
      <c r="X3" s="261" t="s">
        <v>3</v>
      </c>
      <c r="Y3" s="262"/>
      <c r="Z3" s="262"/>
      <c r="AA3" s="262"/>
      <c r="AB3" s="262"/>
      <c r="AC3" s="262"/>
      <c r="AD3" s="262"/>
      <c r="AE3" s="263"/>
    </row>
    <row r="4" spans="1:31" ht="25.5" customHeight="1">
      <c r="A4" s="6"/>
      <c r="B4" s="6"/>
      <c r="C4" s="7"/>
      <c r="D4" s="7"/>
      <c r="E4" s="8"/>
      <c r="F4" s="9"/>
      <c r="G4" s="10"/>
      <c r="H4" s="10"/>
      <c r="I4" s="4"/>
      <c r="J4" s="5"/>
      <c r="K4" s="5"/>
      <c r="L4" s="5"/>
      <c r="X4" s="273" t="s">
        <v>120</v>
      </c>
      <c r="Y4" s="274"/>
      <c r="Z4" s="274"/>
      <c r="AA4" s="274"/>
      <c r="AB4" s="274"/>
      <c r="AC4" s="274"/>
      <c r="AD4" s="274"/>
      <c r="AE4" s="275"/>
    </row>
    <row r="5" spans="1:31" ht="26.25" customHeight="1">
      <c r="A5" s="6"/>
      <c r="B5" s="6"/>
      <c r="C5" s="7"/>
      <c r="D5" s="7"/>
      <c r="I5" s="4"/>
      <c r="J5" s="5"/>
      <c r="K5" s="5"/>
      <c r="L5" s="5"/>
      <c r="X5" s="276"/>
      <c r="Y5" s="277"/>
      <c r="Z5" s="277"/>
      <c r="AA5" s="277"/>
      <c r="AB5" s="277"/>
      <c r="AC5" s="277"/>
      <c r="AD5" s="277"/>
      <c r="AE5" s="278"/>
    </row>
    <row r="6" spans="1:31" ht="26.25" customHeight="1">
      <c r="A6" s="6"/>
      <c r="B6" s="6"/>
      <c r="C6" s="7"/>
      <c r="D6" s="7"/>
      <c r="E6" s="282" t="s">
        <v>4</v>
      </c>
      <c r="F6" s="282"/>
      <c r="G6" s="282"/>
      <c r="H6" s="282"/>
      <c r="I6" s="4"/>
      <c r="J6" s="5"/>
      <c r="K6" s="5"/>
      <c r="L6" s="5"/>
      <c r="M6" s="283" t="s">
        <v>5</v>
      </c>
      <c r="N6" s="283"/>
      <c r="O6" s="283"/>
      <c r="P6" s="283"/>
      <c r="Q6" s="283"/>
      <c r="R6" s="283"/>
      <c r="S6" s="283"/>
      <c r="T6" s="283"/>
      <c r="U6" s="283"/>
      <c r="V6" s="283"/>
      <c r="X6" s="276"/>
      <c r="Y6" s="277"/>
      <c r="Z6" s="277"/>
      <c r="AA6" s="277"/>
      <c r="AB6" s="277"/>
      <c r="AC6" s="277"/>
      <c r="AD6" s="277"/>
      <c r="AE6" s="278"/>
    </row>
    <row r="7" spans="1:31" ht="26.25" customHeight="1">
      <c r="A7" s="6"/>
      <c r="B7" s="6"/>
      <c r="C7" s="266" t="s">
        <v>2</v>
      </c>
      <c r="D7" s="266"/>
      <c r="E7" s="11"/>
      <c r="F7" s="11"/>
      <c r="G7" s="11"/>
      <c r="H7" s="11"/>
      <c r="I7" s="4"/>
      <c r="J7" s="266" t="s">
        <v>6</v>
      </c>
      <c r="K7" s="266"/>
      <c r="L7" s="12"/>
      <c r="M7" s="13" t="s">
        <v>7</v>
      </c>
      <c r="N7" s="14"/>
      <c r="O7" s="14"/>
      <c r="P7" s="14"/>
      <c r="Q7" s="14"/>
      <c r="R7" s="14"/>
      <c r="S7" s="14"/>
      <c r="T7" s="14"/>
      <c r="U7" s="14"/>
      <c r="V7" s="15" t="s">
        <v>8</v>
      </c>
      <c r="X7" s="276"/>
      <c r="Y7" s="277"/>
      <c r="Z7" s="277"/>
      <c r="AA7" s="277"/>
      <c r="AB7" s="277"/>
      <c r="AC7" s="277"/>
      <c r="AD7" s="277"/>
      <c r="AE7" s="278"/>
    </row>
    <row r="8" spans="1:31" ht="21.75" customHeight="1">
      <c r="H8" s="16"/>
      <c r="L8" s="17"/>
      <c r="X8" s="276"/>
      <c r="Y8" s="277"/>
      <c r="Z8" s="277"/>
      <c r="AA8" s="277"/>
      <c r="AB8" s="277"/>
      <c r="AC8" s="277"/>
      <c r="AD8" s="277"/>
      <c r="AE8" s="278"/>
    </row>
    <row r="9" spans="1:31" ht="37.5" customHeight="1" thickBot="1">
      <c r="A9" s="18"/>
      <c r="C9" s="267" t="s">
        <v>9</v>
      </c>
      <c r="D9" s="267"/>
      <c r="I9" s="229">
        <v>2025</v>
      </c>
      <c r="J9" s="229">
        <v>2024</v>
      </c>
      <c r="K9" s="172">
        <v>2023</v>
      </c>
      <c r="X9" s="276"/>
      <c r="Y9" s="277"/>
      <c r="Z9" s="277"/>
      <c r="AA9" s="277"/>
      <c r="AB9" s="277"/>
      <c r="AC9" s="277"/>
      <c r="AD9" s="277"/>
      <c r="AE9" s="278"/>
    </row>
    <row r="10" spans="1:31" ht="44.15" customHeight="1" thickTop="1">
      <c r="A10" s="18"/>
      <c r="C10" s="272">
        <f>IF(G3=DATEVALUE("01.01.2022"),Y49,IF(G3=DATEVALUE("01.02.2022"),Y50,IF(G3=DATEVALUE("01.03.2022"),Y51,IF(G3=DATEVALUE("01.04.2022"),Y52,IF(G3=DATEVALUE("01.05.2022"),Y53,IF(G3=DATEVALUE("01.06.2022"),Y54,IF(G3=DATEVALUE("01.07.2022"),Y55,IF(G3=DATEVALUE("01.08.2022"),Y56,IF(G3=DATEVALUE("01.09.2022"),Y57,IF(G3=DATEVALUE("01.10.2022"),Y58,IF(G3=DATEVALUE("01.11.2022"),Y59,IF(G3=DATEVALUE("01.12.2022"),Y60,IF(G3=DATEVALUE("01.01.2023"),Y61,IF(G3=DATEVALUE("01.02.2023"),Y62,IF(G3=DATEVALUE("01.03.2023"),Y63,IF(G3=DATEVALUE("01.04.2023"),Y64,IF(G3=DATEVALUE("01.05.2023"),Y65,IF(G3=DATEVALUE("01.06.2023"),Y66,IF(G3=DATEVALUE("01.07.2023"),Y67,IF(G3=DATEVALUE("01.08.2023"),Y68,IF(G3=DATEVALUE("01.09.2023"),Y69,IF(G3=DATEVALUE("01.10.2023"),Y70,IF(G3=DATEVALUE("01.11.2023"),Y71,IF(G3=DATEVALUE("01.12.2023"),Y72,IF(G3=DATEVALUE("01.01.2024"),Y73,IF(G3=DATEVALUE("01.02.2024"),Y74,IF(G3=DATEVALUE("01.03.2024"),Y75,IF(G3=DATEVALUE("01.04.2024"),Y76,IF(G3=DATEVALUE("01.05.2024"),Y77,IF(G3=DATEVALUE("01.06.2024"),Y78,IF(G3=DATEVALUE("01.07.2024"),Y79,IF(G3=DATEVALUE("01.08.2024"),Y80,IF(G3=DATEVALUE("01.09.2024"),Y81,IF(G3=DATEVALUE("01.10.2024"),Y82,IF(G3=DATEVALUE("01.11.2024"),Y83,IF(G3=DATEVALUE("01.12.2024"),Y84,IF(G3=DATEVALUE("01.01.2025"),Y85,IF(G3=DATEVALUE("01.02.2025"),Y86,IF(G3=DATEVALUE("01.03.2025"),Y87,IF(G3=DATEVALUE("01.04.2025"),Y88,IF(G3=DATEVALUE("01.05.2025"),Y89,IF(G3=DATEVALUE("01.06.2025"),Y90,IF(G3=DATEVALUE("01.07.2025"),Y91,IF(G3=DATEVALUE("01.08.2025"),Y92,IF(G3=DATEVALUE("01.09.2025"),Y93,IF(G3=DATEVALUE("01.10.2025"),Y94,IF(G3=DATEVALUE("01.11.2025"),Y95,IF(G3=DATEVALUE("01.12.2025"),Y96))))))))))))))))))))))))))))))))))))))))))))))))</f>
        <v>0</v>
      </c>
      <c r="D10" s="266"/>
      <c r="I10" s="230">
        <f>L103</f>
        <v>0</v>
      </c>
      <c r="J10" s="230">
        <f>L102</f>
        <v>0</v>
      </c>
      <c r="K10" s="173">
        <f>L101</f>
        <v>0</v>
      </c>
      <c r="X10" s="276"/>
      <c r="Y10" s="277"/>
      <c r="Z10" s="277"/>
      <c r="AA10" s="277"/>
      <c r="AB10" s="277"/>
      <c r="AC10" s="277"/>
      <c r="AD10" s="277"/>
      <c r="AE10" s="278"/>
    </row>
    <row r="11" spans="1:31" ht="44.15" customHeight="1">
      <c r="A11" s="19"/>
      <c r="C11" s="268">
        <f>IF(G3=DATEVALUE("01.01.2022"),X49,IF(G3=DATEVALUE("01.02.2022"),X50,IF(G3=DATEVALUE("01.03.2022"),X51,IF(G3=DATEVALUE("01.04.2022"),X52,IF(G3=DATEVALUE("01.05.2022"),X53,IF(G3=DATEVALUE("01.06.2022"),X54,IF(G3=DATEVALUE("01.07.2022"),X55,IF(G3=DATEVALUE("01.08.2022"),X56,IF(G3=DATEVALUE("01.09.2022"),X57,IF(G3=DATEVALUE("01.10.2022"),X58,IF(G3=DATEVALUE("01.11.2022"),X59,IF(G3=DATEVALUE("01.12.2022"),X60,IF(G3=DATEVALUE("01.01.2023"),X61,IF(G3=DATEVALUE("01.02.2023"),X62,IF(G3=DATEVALUE("01.03.2023"),X63,IF(G3=DATEVALUE("01.04.2023"),X64,IF(G3=DATEVALUE("01.05.2023"),X65,IF(G3=DATEVALUE("01.06.2023"),X66,IF(G3=DATEVALUE("01.07.2023"),X67,IF(G3=DATEVALUE("01.08.2023"),X68,IF(G3=DATEVALUE("01.09.2023"),X69,IF(G3=DATEVALUE("01.10.2023"),X70,IF(G3=DATEVALUE("01.11.2023"),X71,IF(G3=DATEVALUE("01.12.2023"),X72,IF(G3=DATEVALUE("01.01.2024"),X73,IF(G3=DATEVALUE("01.02.2024"),X74,IF(G3=DATEVALUE("01.03.2024"),X75,IF(G3=DATEVALUE("01.04.2024"),X76,IF(G3=DATEVALUE("01.05.2024"),X77,IF(G3=DATEVALUE("01.06.2024"),X78,IF(G3=DATEVALUE("01.07.2024"),X79,IF(G3=DATEVALUE("01.08.2024"),X80,IF(G3=DATEVALUE("01.09.2024"),X81,IF(G3=DATEVALUE("01.10.2024"),X82,IF(G3=DATEVALUE("01.11.2024"),X83,IF(G3=DATEVALUE("01.12.2024"),X84,IF(G3=DATEVALUE("01.01.2025"),X85,IF(G3=DATEVALUE("01.02.2025"),X86,IF(G3=DATEVALUE("01.03.2025"),X87,IF(G3=DATEVALUE("01.04.2025"),X88,IF(G3=DATEVALUE("01.05.2025"),X89,IF(G3=DATEVALUE("01.06.2025"),X90,IF(G3=DATEVALUE("01.07.2025"),X91,IF(G3=DATEVALUE("01.08.2025"),X92,IF(G3=DATEVALUE("01.09.2025"),X93,IF(G3=DATEVALUE("01.10.2025"),X94,IF(G3=DATEVALUE("01.11.2025"),X95,IF(G3=DATEVALUE("01.12.2025"),X96))))))))))))))))))))))))))))))))))))))))))))))))</f>
        <v>0</v>
      </c>
      <c r="D11" s="269"/>
      <c r="E11" s="171"/>
      <c r="I11" s="231">
        <f>K103</f>
        <v>0</v>
      </c>
      <c r="J11" s="231">
        <f>K102</f>
        <v>0</v>
      </c>
      <c r="K11" s="170">
        <f>K101</f>
        <v>0</v>
      </c>
      <c r="M11" s="19"/>
      <c r="X11" s="276"/>
      <c r="Y11" s="277"/>
      <c r="Z11" s="277"/>
      <c r="AA11" s="277"/>
      <c r="AB11" s="277"/>
      <c r="AC11" s="277"/>
      <c r="AD11" s="277"/>
      <c r="AE11" s="278"/>
    </row>
    <row r="12" spans="1:31" ht="44.15" customHeight="1">
      <c r="A12" s="19"/>
      <c r="B12" s="20"/>
      <c r="C12" s="270">
        <f>IF(G3=DATEVALUE("01.01.2022"),W49,IF(G3=DATEVALUE("01.02.2022"),W50,IF(G3=DATEVALUE("01.03.2022"),W51,IF(G3=DATEVALUE("01.04.2022"),W52,IF(G3=DATEVALUE("01.05.2022"),W53,IF(G3=DATEVALUE("01.06.2022"),W54,IF(G3=DATEVALUE("01.07.2022"),W55,IF(G3=DATEVALUE("01.08.2022"),W56,IF(G3=DATEVALUE("01.09.2022"),W57,IF(G3=DATEVALUE("01.10.2022"),W58,IF(G3=DATEVALUE("01.11.2022"),W59,IF(G3=DATEVALUE("01.12.2022"),W60,IF(G3=DATEVALUE("01.01.2023"),W61,IF(G3=DATEVALUE("01.02.2023"),W62,IF(G3=DATEVALUE("01.03.2023"),W63,IF(G3=DATEVALUE("01.04.2023"),W64,IF(G3=DATEVALUE("01.05.2023"),W65,IF(G3=DATEVALUE("01.06.2023"),W66,IF(G3=DATEVALUE("01.07.2023"),W67,IF(G3=DATEVALUE("01.08.2023"),W68,IF(G3=DATEVALUE("01.09.2023"),W69,IF(G3=DATEVALUE("01.10.2023"),W70,IF(G3=DATEVALUE("01.11.2023"),W71,IF(G3=DATEVALUE("01.12.2023"),W72,IF(G3=DATEVALUE("01.01.2024"),W73,IF(G3=DATEVALUE("01.02.2024"),W74,IF(G3=DATEVALUE("01.03.2024"),W75,IF(G3=DATEVALUE("01.04.2024"),W76,IF(G3=DATEVALUE("01.05.2024"),W77,IF(G3=DATEVALUE("01.06.2024"),W78,IF(G3=DATEVALUE("01.07.2024"),W79,IF(G3=DATEVALUE("01.08.2024"),W80,IF(G3=DATEVALUE("01.09.2024"),W81,IF(G3=DATEVALUE("01.10.2024"),W82,IF(G3=DATEVALUE("01.11.2024"),W83,IF(G3=DATEVALUE("01.12.2024"),W84,IF(G3=DATEVALUE("01.01.2025"),W85,IF(G3=DATEVALUE("01.02.2025"),W86,IF(G3=DATEVALUE("01.03.2025"),W87,IF(G3=DATEVALUE("01.04.2025"),W88,IF(G3=DATEVALUE("01.05.2025"),W89,IF(G3=DATEVALUE("01.06.2025"),W90,IF(G3=DATEVALUE("01.07.2025"),W91,IF(G3=DATEVALUE("01.08.2025"),W92,IF(G3=DATEVALUE("01.09.2025"),W93,IF(G3=DATEVALUE("01.10.2025"),W94,IF(G3=DATEVALUE("01.11.2025"),W95,IF(G3=DATEVALUE("01.12.2025"),W96))))))))))))))))))))))))))))))))))))))))))))))))</f>
        <v>0</v>
      </c>
      <c r="D12" s="271"/>
      <c r="I12" s="231">
        <f>J103</f>
        <v>1</v>
      </c>
      <c r="J12" s="231">
        <f>J102</f>
        <v>3</v>
      </c>
      <c r="K12" s="170">
        <f>J101</f>
        <v>0</v>
      </c>
      <c r="M12" s="19"/>
      <c r="X12" s="276"/>
      <c r="Y12" s="277"/>
      <c r="Z12" s="277"/>
      <c r="AA12" s="277"/>
      <c r="AB12" s="277"/>
      <c r="AC12" s="277"/>
      <c r="AD12" s="277"/>
      <c r="AE12" s="278"/>
    </row>
    <row r="13" spans="1:31" ht="44.15" customHeight="1">
      <c r="A13" s="19"/>
      <c r="C13" s="270">
        <f>IF(G3=DATEVALUE("01.01.2022"),AA49,IF(G3=DATEVALUE("01.02.2022"),AA50,IF(G3=DATEVALUE("01.03.2022"),AA51,IF(G3=DATEVALUE("01.04.2022"),AA52,IF(G3=DATEVALUE("01.05.2022"),AA53,IF(G3=DATEVALUE("01.06.2022"),AA54,IF(G3=DATEVALUE("01.07.2022"),AA55,IF(G3=DATEVALUE("01.08.2022"),AA56,IF(G3=DATEVALUE("01.09.2022"),AA57,IF(G3=DATEVALUE("01.10.2022"),AA58,IF(G3=DATEVALUE("01.11.2022"),AA59,IF(G3=DATEVALUE("01.12.2022"),AA60,IF(G3=DATEVALUE("01.01.2023"),AA61,IF(G3=DATEVALUE("01.02.2023"),AA62,IF(G3=DATEVALUE("01.03.2023"),AA63,IF(G3=DATEVALUE("01.04.2023"),AA64,IF(G3=DATEVALUE("01.05.2023"),AA65,IF(G3=DATEVALUE("01.06.2023"),AA66,IF(G3=DATEVALUE("01.07.2023"),AA67,IF(G3=DATEVALUE("01.08.2023"),AA68,IF(G3=DATEVALUE("01.09.2023"),AA69,IF(G3=DATEVALUE("01.10.2023"),AA70,IF(G3=DATEVALUE("01.11.2023"),AA71,IF(G3=DATEVALUE("01.12.2023"),AA72,IF(G3=DATEVALUE("01.01.2024"),AA73,IF(G3=DATEVALUE("01.02.2024"),AA74,IF(G3=DATEVALUE("01.03.2024"),AA75,IF(G3=DATEVALUE("01.04.2024"),AA76,IF(G3=DATEVALUE("01.05.2024"),AA77,IF(G3=DATEVALUE("01.06.2024"),AA78,IF(G3=DATEVALUE("01.07.2024"),AA79,IF(G3=DATEVALUE("01.08.2024"),AA80,IF(G3=DATEVALUE("01.09.2024"),AA81,IF(G3=DATEVALUE("01.10.2024"),AA82,IF(G3=DATEVALUE("01.11.2024"),AA83,IF(G3=DATEVALUE("01.12.2024"),AA84,IF(G3=DATEVALUE("01.01.2025"),AA85,IF(G3=DATEVALUE("01.02.2025"),AA86,IF(G3=DATEVALUE("01.03.2025"),AA87,IF(G3=DATEVALUE("01.04.2025"),AA88,IF(G3=DATEVALUE("01.05.2025"),AA89,IF(G3=DATEVALUE("01.06.2025"),AA90,IF(G3=DATEVALUE("01.07.2025"),AA91,IF(G3=DATEVALUE("01.08.2025"),AA92,IF(G3=DATEVALUE("01.09.2025"),AA93,IF(G3=DATEVALUE("01.10.2025"),AA94,IF(G3=DATEVALUE("01.11.2025"),AA95,IF(G3=DATEVALUE("01.12.2025"),AA96))))))))))))))))))))))))))))))))))))))))))))))))</f>
        <v>0</v>
      </c>
      <c r="D13" s="271"/>
      <c r="I13" s="231">
        <f>N103</f>
        <v>3</v>
      </c>
      <c r="J13" s="231">
        <f>N102</f>
        <v>1</v>
      </c>
      <c r="K13" s="170">
        <f>N101</f>
        <v>0</v>
      </c>
      <c r="M13" s="19"/>
      <c r="X13" s="276"/>
      <c r="Y13" s="277"/>
      <c r="Z13" s="277"/>
      <c r="AA13" s="277"/>
      <c r="AB13" s="277"/>
      <c r="AC13" s="277"/>
      <c r="AD13" s="277"/>
      <c r="AE13" s="278"/>
    </row>
    <row r="14" spans="1:31" ht="44.15" customHeight="1">
      <c r="A14" s="19"/>
      <c r="B14" s="21"/>
      <c r="C14" s="270">
        <f>IF(G3=DATEVALUE("01.01.2024"),Z73,IF(G3=DATEVALUE("01.02.2024"),Z74,IF(G3=DATEVALUE("01.03.2024"),Z75,IF(G3=DATEVALUE("01.04.2024"),Z76,IF(G3=DATEVALUE("01.05.2024"),Z77,IF(G3=DATEVALUE("01.06.2024"),Z78,IF(G3=DATEVALUE("01.07.2024"),Z79,IF(G3=DATEVALUE("01.08.2024"),Z80,IF(G3=DATEVALUE("01.09.2024"),Z81,IF(G3=DATEVALUE("01.10.2024"),Z82,IF(G3=DATEVALUE("01.11.2024"),Z83,IF(G3=DATEVALUE("01.12.2024"),Z84,IF(G3=DATEVALUE("01.01.2025"),Z85,IF(G3=DATEVALUE("01.02.2025"),Z86,IF(G3=DATEVALUE("01.03.2025"),Z87,IF(G3=DATEVALUE("01.04.2025"),Z88,IF(G3=DATEVALUE("01.05.2025"),Z89,IF(G3=DATEVALUE("01.06.2025"),Z90,IF(G3=DATEVALUE("01.07.2025"),Z91,IF(G3=DATEVALUE("01.08.2025"),Z92,IF(G3=DATEVALUE("01.09.2025"),Z93,IF(G3=DATEVALUE("01.10.2025"),Z94,IF(G3=DATEVALUE("01.11.2025"),Z95,IF(G3=DATEVALUE("01.12.2025"),Z96))))))))))))))))))))))))</f>
        <v>0</v>
      </c>
      <c r="D14" s="271"/>
      <c r="I14" s="231">
        <f>M103</f>
        <v>0</v>
      </c>
      <c r="J14" s="231">
        <f>M102</f>
        <v>2</v>
      </c>
      <c r="K14" s="170">
        <f>M101</f>
        <v>3</v>
      </c>
      <c r="M14" s="19"/>
      <c r="X14" s="276"/>
      <c r="Y14" s="277"/>
      <c r="Z14" s="277"/>
      <c r="AA14" s="277"/>
      <c r="AB14" s="277"/>
      <c r="AC14" s="277"/>
      <c r="AD14" s="277"/>
      <c r="AE14" s="278"/>
    </row>
    <row r="15" spans="1:31" ht="44.15" customHeight="1">
      <c r="A15" s="19"/>
      <c r="B15" s="21"/>
      <c r="C15" s="270">
        <f>IF(G3=DATEVALUE("01.01.2022"),V49,IF(G3=DATEVALUE("01.02.2022"),V50,IF(G3=DATEVALUE("01.03.2022"),V51,IF(G3=DATEVALUE("01.04.2022"),V52,IF(G3=DATEVALUE("01.05.2022"),V53,IF(G3=DATEVALUE("01.06.2022"),V54,IF(G3=DATEVALUE("01.07.2022"),V55,IF(G3=DATEVALUE("01.08.2022"),V56,IF(G3=DATEVALUE("01.09.2022"),V57,IF(G3=DATEVALUE("01.10.2022"),V58,IF(G3=DATEVALUE("01.11.2022"),V59,IF(G3=DATEVALUE("01.12.2022"),V60,IF(G3=DATEVALUE("01.01.2023"),V61,IF(G3=DATEVALUE("01.02.2023"),V62,IF(G3=DATEVALUE("01.03.2023"),V63,IF(G3=DATEVALUE("01.04.2023"),V64,IF(G3=DATEVALUE("01.05.2023"),V65,IF(G3=DATEVALUE("01.06.2023"),V66,IF(G3=DATEVALUE("01.07.2023"),V67,IF(G3=DATEVALUE("01.08.2023"),V68,IF(G3=DATEVALUE("01.09.2023"),V69,IF(G3=DATEVALUE("01.10.2023"),V70,IF(G3=DATEVALUE("01.11.2023"),V71,IF(G3=DATEVALUE("01.12.2023"),V72,IF(G3=DATEVALUE("01.01.2024"),V73,IF(G3=DATEVALUE("01.02.2024"),V74,IF(G3=DATEVALUE("01.03.2024"),V75,IF(G3=DATEVALUE("01.04.2024"),V76,IF(G3=DATEVALUE("01.05.2024"),V77,IF(G3=DATEVALUE("01.06.2024"),V78,IF(G3=DATEVALUE("01.07.2024"),V79,IF(G3=DATEVALUE("01.08.2024"),V80,IF(G3=DATEVALUE("01.09.2024"),V81,IF(G3=DATEVALUE("01.10.2024"),V82,IF(G3=DATEVALUE("01.11.2024"),V83,IF(G3=DATEVALUE("01.12.2024"),V84,IF(G3=DATEVALUE("01.01.2025"),V85,IF(G3=DATEVALUE("01.02.2025"),V86,IF(G3=DATEVALUE("01.03.2025"),V87,IF(G3=DATEVALUE("01.04.2025"),V88,IF(G3=DATEVALUE("01.05.2025"),V89,IF(G3=DATEVALUE("01.06.2025"),V90,IF(G3=DATEVALUE("01.07.2025"),V91,IF(G3=DATEVALUE("01.08.2025"),V92,IF(G3=DATEVALUE("01.09.2025"),V93,IF(G3=DATEVALUE("01.10.2025"),V94,IF(G3=DATEVALUE("01.11.2025"),V95,IF(G3=DATEVALUE("01.12.2025"),V96))))))))))))))))))))))))))))))))))))))))))))))))</f>
        <v>1</v>
      </c>
      <c r="D15" s="271"/>
      <c r="I15" s="231">
        <f>I103</f>
        <v>12</v>
      </c>
      <c r="J15" s="231">
        <f>I102</f>
        <v>8</v>
      </c>
      <c r="K15" s="170">
        <f>I101</f>
        <v>1</v>
      </c>
      <c r="M15" s="19"/>
      <c r="X15" s="276"/>
      <c r="Y15" s="277"/>
      <c r="Z15" s="277"/>
      <c r="AA15" s="277"/>
      <c r="AB15" s="277"/>
      <c r="AC15" s="277"/>
      <c r="AD15" s="277"/>
      <c r="AE15" s="278"/>
    </row>
    <row r="16" spans="1:31" ht="44.15" customHeight="1">
      <c r="A16" s="19"/>
      <c r="B16" s="21"/>
      <c r="C16" s="270">
        <f>IF(G3=DATEVALUE("01.01.2022"),U49,IF(G3=DATEVALUE("01.02.2022"),U50,IF(G3=DATEVALUE("01.03.2022"),U51,IF(G3=DATEVALUE("01.04.2022"),U52,IF(G3=DATEVALUE("01.05.2022"),U53,IF(G3=DATEVALUE("01.06.2022"),U54,IF(G3=DATEVALUE("01.07.2022"),U55,IF(G3=DATEVALUE("01.08.2022"),U56,IF(G3=DATEVALUE("01.09.2022"),U57,IF(G3=DATEVALUE("01.10.2022"),U58,IF(G3=DATEVALUE("01.11.2022"),U59,IF(G3=DATEVALUE("01.12.2022"),U60,IF(G3=DATEVALUE("01.01.2023"),U61,IF(G3=DATEVALUE("01.02.2023"),U62,IF(G3=DATEVALUE("01.03.2023"),U63,IF(G3=DATEVALUE("01.04.2023"),U64,IF(G3=DATEVALUE("01.05.2023"),U65,IF(G3=DATEVALUE("01.06.2023"),U66,IF(G3=DATEVALUE("01.07.2023"),U67,IF(G3=DATEVALUE("01.08.2023"),U68,IF(G3=DATEVALUE("01.09.2023"),U69,IF(G3=DATEVALUE("01.10.2023"),U70,IF(G3=DATEVALUE("01.11.2023"),U71,IF(G3=DATEVALUE("01.12.2023"),U72,IF(G3=DATEVALUE("01.01.2024"),U73,IF(G3=DATEVALUE("01.02.2024"),U74,IF(G3=DATEVALUE("01.03.2024"),U75,IF(G3=DATEVALUE("01.04.2024"),U76,IF(G3=DATEVALUE("01.05.2024"),U77,IF(G3=DATEVALUE("01.06.2024"),U78,IF(G3=DATEVALUE("01.07.2024"),U79,IF(G3=DATEVALUE("01.08.2024"),U80,IF(G3=DATEVALUE("01.09.2024"),U81,IF(G3=DATEVALUE("01.10.2024"),U82,IF(G3=DATEVALUE("01.11.2024"),U83,IF(G3=DATEVALUE("01.12.2024"),U84,IF(G3=DATEVALUE("01.01.2024"),U73,IF(G3=DATEVALUE("01.02.2024"),U74,IF(G3=DATEVALUE("01.03.2024"),U75,IF(G3=DATEVALUE("01.04.2024"),U76,IF(G3=DATEVALUE("01.05.2024"),U77,IF(G3=DATEVALUE("01.06.2024"),U78,IF(G3=DATEVALUE("01.07.2024"),U79,IF(G3=DATEVALUE("01.08.2024"),U80,IF(G3=DATEVALUE("01.09.2024"),U81,IF(G3=DATEVALUE("01.10.2024"),U82,IF(G3=DATEVALUE("01.11.2024"),U83,IF(G3=DATEVALUE("01.12.2024"),U84,IF(G3=DATEVALUE("01.01.2025"),U85,IF(G3=DATEVALUE("01.02.2025"),U86,IF(G3=DATEVALUE("01.03.2025"),U87,IF(G3=DATEVALUE("01.04.2025"),U88,IF(G3=DATEVALUE("01.05.2025"),U89,IF(G3=DATEVALUE("01.06.2025"),U90,IF(G3=DATEVALUE("01.07.2025"),U91,IF(G3=DATEVALUE("01.08.2025"),U92,IF(G3=DATEVALUE("01.09.2025"),U93,IF(G3=DATEVALUE("01.10.2025"),U94,IF(G3=DATEVALUE("01.11.2025"),U95,IF(G3=DATEVALUE("01.12.2025"),U96))))))))))))))))))))))))))))))))))))))))))))))))))))))))))))</f>
        <v>0</v>
      </c>
      <c r="D16" s="271"/>
      <c r="I16" s="231">
        <f>H103</f>
        <v>2</v>
      </c>
      <c r="J16" s="231">
        <f>H102</f>
        <v>4</v>
      </c>
      <c r="K16" s="170">
        <f>H101</f>
        <v>6</v>
      </c>
      <c r="M16" s="19"/>
      <c r="X16" s="276"/>
      <c r="Y16" s="277"/>
      <c r="Z16" s="277"/>
      <c r="AA16" s="277"/>
      <c r="AB16" s="277"/>
      <c r="AC16" s="277"/>
      <c r="AD16" s="277"/>
      <c r="AE16" s="278"/>
    </row>
    <row r="17" spans="1:31" ht="44.15" customHeight="1">
      <c r="A17" s="19"/>
      <c r="B17" s="21"/>
      <c r="C17" s="270">
        <f>IF(G3=DATEVALUE("01.01.2022"),T49,IF(G3=DATEVALUE("01.02.2022"),T50,IF(G3=DATEVALUE("01.03.2022"),T51,IF(G3=DATEVALUE("01.04.2022"),T52,IF(G3=DATEVALUE("01.05.2022"),T53,IF(G3=DATEVALUE("01.06.2022"),T54,IF(G3=DATEVALUE("01.07.2022"),T55,IF(G3=DATEVALUE("01.08.2022"),T56,IF(G3=DATEVALUE("01.09.2022"),T57,IF(G3=DATEVALUE("01.10.2022"),T58,IF(G3=DATEVALUE("01.11.2022"),T59,IF(G3=DATEVALUE("01.12.2022"),T60,IF(G3=DATEVALUE("01.01.2023"),T61,IF(G3=DATEVALUE("01.02.2023"),T62,IF(G3=DATEVALUE("01.03.2023"),T63,IF(G3=DATEVALUE("01.04.2023"),T64,IF(G3=DATEVALUE("01.05.2023"),T65,IF(G3=DATEVALUE("01.06.2023"),T66,IF(G3=DATEVALUE("01.07.2023"),T67,IF(G3=DATEVALUE("01.08.2023"),T68,IF(G3=DATEVALUE("01.09.2023"),T69,IF(G3=DATEVALUE("01.10.2023"),T70,IF(G3=DATEVALUE("01.11.2023"),T71,IF(G3=DATEVALUE("01.12.2023"),T72,IF(G3=DATEVALUE("01.01.2024"),T73,IF(G3=DATEVALUE("01.02.2024"),T74,IF(G3=DATEVALUE("01.03.2024"),T75,IF(G3=DATEVALUE("01.04.2024"),T76,IF(G3=DATEVALUE("01.05.2024"),T77,IF(G3=DATEVALUE("01.06.2024"),T78,IF(G3=DATEVALUE("01.07.2024"),T79,IF(G3=DATEVALUE("01.08.2024"),T80,IF(G3=DATEVALUE("01.09.2024"),T81,IF(G3=DATEVALUE("01.10.2024"),T82,IF(G3=DATEVALUE("01.11.2024"),T83,IF(G3=DATEVALUE("01.12.2024"),T84,IF(G3=DATEVALUE("01.01.2025"),T85,IF(G3=DATEVALUE("01.02.2025"),T86,IF(G3=DATEVALUE("01.03.2025"),T87,IF(G3=DATEVALUE("01.04.2025"),T88,IF(G3=DATEVALUE("01.05.2025"),T89,IF(G3=DATEVALUE("01.06.2025"),T90,IF(G3=DATEVALUE("01.07.2025"),T91,IF(G3=DATEVALUE("01.08.2025"),T92,IF(G3=DATEVALUE("01.09.2025"),T93,IF(G3=DATEVALUE("01.10.2025"),T94,IF(G3=DATEVALUE("01.11.2025"),T95,IF(G3=DATEVALUE("01.12.2025"),T96))))))))))))))))))))))))))))))))))))))))))))))))</f>
        <v>9</v>
      </c>
      <c r="D17" s="271"/>
      <c r="I17" s="231">
        <f>G103</f>
        <v>381</v>
      </c>
      <c r="J17" s="231">
        <f>G102</f>
        <v>104</v>
      </c>
      <c r="K17" s="170">
        <f>G101</f>
        <v>221</v>
      </c>
      <c r="M17" s="19"/>
      <c r="X17" s="276"/>
      <c r="Y17" s="277"/>
      <c r="Z17" s="277"/>
      <c r="AA17" s="277"/>
      <c r="AB17" s="277"/>
      <c r="AC17" s="277"/>
      <c r="AD17" s="277"/>
      <c r="AE17" s="278"/>
    </row>
    <row r="18" spans="1:31" ht="44.15" customHeight="1">
      <c r="A18" s="19"/>
      <c r="B18" s="21"/>
      <c r="C18" s="270">
        <f>IF(G3=DATEVALUE("01.01.2022"),S49,IF(G3=DATEVALUE("01.02.2022"),S50,IF(G3=DATEVALUE("01.03.2022"),S51,IF(G3=DATEVALUE("01.04.2022"),S52,IF(G3=DATEVALUE("01.05.2022"),S53,IF(G3=DATEVALUE("01.06.2022"),S54,IF(G3=DATEVALUE("01.07.2022"),S55,IF(G3=DATEVALUE("01.08.2022"),S56,IF(G3=DATEVALUE("01.09.2022"),S57,IF(G3=DATEVALUE("01.10.2022"),S58,IF(G3=DATEVALUE("01.11.2022"),S59,IF(G3=DATEVALUE("01.12.2022"),S60,IF(G3=DATEVALUE("01.01.2023"),S61,IF(G3=DATEVALUE("01.02.2023"),S62,IF(G3=DATEVALUE("01.03.2023"),S63,IF(G3=DATEVALUE("01.04.2023"),S64,IF(G3=DATEVALUE("01.05.2023"),S65,IF(G3=DATEVALUE("01.06.2023"),S66,IF(G3=DATEVALUE("01.07.2023"),S67,IF(G3=DATEVALUE("01.08.2023"),S68,IF(G3=DATEVALUE("01.09.2023"),S69,IF(G3=DATEVALUE("01.10.2023"),S70,IF(G3=DATEVALUE("01.11.2023"),S71,IF(G3=DATEVALUE("01.12.2023"),S72,IF(G3=DATEVALUE("01.01.2024"),S73,IF(G3=DATEVALUE("01.02.2024"),S74,IF(G3=DATEVALUE("01.03.2024"),S75,IF(G3=DATEVALUE("01.04.2024"),S76,IF(G3=DATEVALUE("01.05.2024"),S77,IF(G3=DATEVALUE("01.06.2024"),S78,IF(G3=DATEVALUE("01.07.2024"),S79,IF(G3=DATEVALUE("01.08.2024"),S80,IF(G3=DATEVALUE("01.09.2024"),S81,IF(G3=DATEVALUE("01.10.2024"),S82,IF(G3=DATEVALUE("01.11.2024"),S83,IF(G3=DATEVALUE("01.12.2024"),S84, IF(G3=DATEVALUE("01.01.2025"),S85,IF(G3=DATEVALUE("01.02.2025"),S86,IF(G3=DATEVALUE("01.03.2025"),S87,IF(G3=DATEVALUE("01.04.2025"),S88,IF(G3=DATEVALUE("01.05.2025"),S89,IF(G3=DATEVALUE("01.06.2025"),S90,IF(G3=DATEVALUE("01.07.2025"),S91,IF(G3=DATEVALUE("01.08.2025"),S92,IF(G3=DATEVALUE("01.09.2025"),S93,IF(G3=DATEVALUE("01.10.2025"),S94,IF(G3=DATEVALUE("01.11.2025"),S95,IF(G3=DATEVALUE("01.12.2025"),S96))))))))))))))))))))))))))))))))))))))))))))))))</f>
        <v>51</v>
      </c>
      <c r="D18" s="271"/>
      <c r="I18" s="231">
        <f>F103</f>
        <v>1177</v>
      </c>
      <c r="J18" s="231">
        <f>F102</f>
        <v>600</v>
      </c>
      <c r="K18" s="170">
        <f>F101</f>
        <v>0</v>
      </c>
      <c r="M18" s="19"/>
      <c r="X18" s="276"/>
      <c r="Y18" s="277"/>
      <c r="Z18" s="277"/>
      <c r="AA18" s="277"/>
      <c r="AB18" s="277"/>
      <c r="AC18" s="277"/>
      <c r="AD18" s="277"/>
      <c r="AE18" s="278"/>
    </row>
    <row r="19" spans="1:31" ht="44.15" customHeight="1" thickBot="1">
      <c r="A19" s="19"/>
      <c r="B19" s="21"/>
      <c r="C19" s="270">
        <f>IF(G3=DATEVALUE("01.01.2022"),AB49,IF(G3=DATEVALUE("01.02.2022"),AB50,IF(G3=DATEVALUE("01.03.2022"),AB51,IF(G3=DATEVALUE("01.04.2022"),AB52,IF(G3=DATEVALUE("01.05.2022"),AB53,IF(G3=DATEVALUE("01.06.2022"),AB54,IF(G3=DATEVALUE("01.07.2022"),AB55,IF(G3=DATEVALUE("01.08.2022"),AB56,IF(G3=DATEVALUE("01.09.2022"),AB57,IF(G3=DATEVALUE("01.10.2022"),AB58,IF(G3=DATEVALUE("01.11.2022"),AB59,IF(G3=DATEVALUE("01.12.2022"),AB60,IF(G3=DATEVALUE("01.01.2023"),AB61,IF(G3=DATEVALUE("01.02.2023"),AB62,IF(G3=DATEVALUE("01.03.2023"),AB63,IF(G3=DATEVALUE("01.04.2023"),AB64,IF(G3=DATEVALUE("01.05.2023"),AB65,IF(G3=DATEVALUE("01.06.2023"),AB66,IF(G3=DATEVALUE("01.07.2023"),AB67,IF(G3=DATEVALUE("01.08.2023"),AB68,IF(G3=DATEVALUE("01.09.2023"),AB69,IF(G3=DATEVALUE("01.10.2023"),AB70,IF(G3=DATEVALUE("01.11.2023"),AB71,IF(G3=DATEVALUE("01.12.2023"),AB72,IF(G3=DATEVALUE("01.01.2024"),AB73,IF(G3=DATEVALUE("01.02.2024"),AB74,IF(G3=DATEVALUE("01.03.2024"),AB75,IF(G3=DATEVALUE("01.04.2024"),AB76,IF(G3=DATEVALUE("01.05.2024"),AB77,IF(G3=DATEVALUE("01.06.2024"),AB78,IF(G3=DATEVALUE("01.07.2024"),AB79,IF(G3=DATEVALUE("01.08.2024"),AB80,IF(G3=DATEVALUE("01.09.2024"),AB81,IF(G3=DATEVALUE("01.10.2024"),AB82,IF(G3=DATEVALUE("01.11.2024"),AB83,IF(G3=DATEVALUE("01.12.2024"),AB84, IF(G3=DATEVALUE("01.01.2025"),AB85,IF(G3=DATEVALUE("01.02.2025"),AB86,IF(G3=DATEVALUE("01.03.2025"),AB87,IF(G3=DATEVALUE("01.04.2025"),AB88,IF(G3=DATEVALUE("01.05.2025"),AB89,IF(G3=DATEVALUE("01.06.2025"),AB90,IF(G3=DATEVALUE("01.07.2025"),AB91,IF(G3=DATEVALUE("01.08.2025"),AB92,IF(G3=DATEVALUE("01.09.2025"),AB93,IF(G3=DATEVALUE("01.10.2025"),AB94,IF(G3=DATEVALUE("01.11.2025"),AB95,IF(G3=DATEVALUE("01.12.2025"),AB96))))))))))))))))))))))))))))))))))))))))))))))))</f>
        <v>69</v>
      </c>
      <c r="D19" s="271"/>
      <c r="I19" s="232">
        <f>O103</f>
        <v>1682</v>
      </c>
      <c r="J19" s="232">
        <f>O102</f>
        <v>911</v>
      </c>
      <c r="K19" s="170">
        <f>O101</f>
        <v>781</v>
      </c>
      <c r="M19" s="19"/>
      <c r="X19" s="276"/>
      <c r="Y19" s="277"/>
      <c r="Z19" s="277"/>
      <c r="AA19" s="277"/>
      <c r="AB19" s="277"/>
      <c r="AC19" s="277"/>
      <c r="AD19" s="277"/>
      <c r="AE19" s="278"/>
    </row>
    <row r="20" spans="1:31" ht="43.5" customHeight="1" thickBot="1">
      <c r="A20" s="19"/>
      <c r="B20" s="21"/>
      <c r="M20" s="19"/>
      <c r="X20" s="279"/>
      <c r="Y20" s="280"/>
      <c r="Z20" s="280"/>
      <c r="AA20" s="280"/>
      <c r="AB20" s="280"/>
      <c r="AC20" s="280"/>
      <c r="AD20" s="280"/>
      <c r="AE20" s="281"/>
    </row>
    <row r="21" spans="1:31" ht="15" customHeight="1">
      <c r="X21" s="22"/>
      <c r="Y21" s="22"/>
      <c r="Z21" s="22"/>
      <c r="AA21" s="22"/>
      <c r="AB21" s="22"/>
      <c r="AC21" s="22"/>
      <c r="AD21" s="22"/>
      <c r="AE21" s="22"/>
    </row>
    <row r="22" spans="1:31" ht="8.25" customHeight="1">
      <c r="A22" s="23"/>
      <c r="B22" s="23"/>
      <c r="C22" s="24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5"/>
      <c r="Y22" s="26"/>
      <c r="Z22" s="26"/>
      <c r="AA22" s="26"/>
      <c r="AB22" s="26"/>
      <c r="AC22" s="26"/>
      <c r="AD22" s="26"/>
      <c r="AE22" s="27"/>
    </row>
    <row r="23" spans="1:31" ht="15" customHeight="1">
      <c r="X23" s="22"/>
      <c r="Y23" s="22"/>
      <c r="Z23" s="22"/>
      <c r="AA23" s="22"/>
      <c r="AB23" s="22"/>
      <c r="AC23" s="22"/>
      <c r="AD23" s="22"/>
      <c r="AE23" s="22"/>
    </row>
    <row r="24" spans="1:31" ht="15" customHeight="1" thickBot="1">
      <c r="X24" s="28"/>
      <c r="Y24" s="28"/>
      <c r="Z24" s="28"/>
      <c r="AA24" s="28"/>
      <c r="AB24" s="28"/>
      <c r="AC24" s="28"/>
      <c r="AD24" s="28"/>
      <c r="AE24" s="28"/>
    </row>
    <row r="25" spans="1:31" ht="51" customHeight="1">
      <c r="A25" s="19"/>
      <c r="C25" s="284" t="s">
        <v>10</v>
      </c>
      <c r="D25" s="285"/>
      <c r="E25" s="285"/>
      <c r="F25" s="285"/>
      <c r="G25" s="286"/>
      <c r="H25" s="29"/>
      <c r="I25" s="284" t="s">
        <v>11</v>
      </c>
      <c r="J25" s="285"/>
      <c r="K25" s="285"/>
      <c r="L25" s="285"/>
      <c r="M25" s="285"/>
      <c r="N25" s="286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</row>
    <row r="26" spans="1:31" ht="20.25" customHeight="1" thickBot="1">
      <c r="A26" s="19"/>
      <c r="C26" s="287"/>
      <c r="D26" s="288"/>
      <c r="E26" s="288"/>
      <c r="F26" s="288"/>
      <c r="G26" s="289"/>
      <c r="I26" s="287"/>
      <c r="J26" s="288"/>
      <c r="K26" s="288"/>
      <c r="L26" s="288"/>
      <c r="M26" s="288"/>
      <c r="N26" s="289"/>
      <c r="X26" s="28"/>
      <c r="Y26" s="28"/>
      <c r="Z26" s="28"/>
      <c r="AA26" s="28"/>
      <c r="AB26" s="28"/>
      <c r="AC26" s="28"/>
      <c r="AD26" s="28"/>
      <c r="AE26" s="28"/>
    </row>
    <row r="27" spans="1:31" ht="36" customHeight="1">
      <c r="A27" s="19"/>
      <c r="C27" s="293" t="s">
        <v>12</v>
      </c>
      <c r="D27" s="294"/>
      <c r="E27" s="294"/>
      <c r="F27" s="294"/>
      <c r="G27" s="295"/>
      <c r="I27" s="293" t="s">
        <v>12</v>
      </c>
      <c r="J27" s="294"/>
      <c r="K27" s="294"/>
      <c r="L27" s="294"/>
      <c r="M27" s="294"/>
      <c r="N27" s="295"/>
      <c r="X27" s="28"/>
      <c r="Y27" s="28"/>
      <c r="Z27" s="28"/>
      <c r="AA27" s="28"/>
      <c r="AB27" s="28"/>
      <c r="AC27" s="28"/>
      <c r="AD27" s="28"/>
      <c r="AE27" s="28"/>
    </row>
    <row r="28" spans="1:31" ht="41.25" customHeight="1">
      <c r="A28" s="19"/>
      <c r="C28" s="293"/>
      <c r="D28" s="294"/>
      <c r="E28" s="294"/>
      <c r="F28" s="294"/>
      <c r="G28" s="295"/>
      <c r="I28" s="293"/>
      <c r="J28" s="294"/>
      <c r="K28" s="294"/>
      <c r="L28" s="294"/>
      <c r="M28" s="294"/>
      <c r="N28" s="295"/>
      <c r="X28" s="28"/>
      <c r="Y28" s="28"/>
      <c r="Z28" s="28"/>
      <c r="AA28" s="28"/>
      <c r="AB28" s="28"/>
      <c r="AC28" s="28"/>
      <c r="AD28" s="28"/>
      <c r="AE28" s="28"/>
    </row>
    <row r="29" spans="1:31" ht="47.25" customHeight="1">
      <c r="A29" s="19"/>
      <c r="C29" s="296" t="s">
        <v>13</v>
      </c>
      <c r="D29" s="297"/>
      <c r="E29" s="297"/>
      <c r="F29" s="297"/>
      <c r="G29" s="298"/>
      <c r="I29" s="299" t="s">
        <v>14</v>
      </c>
      <c r="J29" s="300"/>
      <c r="K29" s="300"/>
      <c r="L29" s="300"/>
      <c r="M29" s="300"/>
      <c r="N29" s="298"/>
      <c r="X29" s="28"/>
      <c r="Y29" s="28"/>
      <c r="Z29" s="28"/>
      <c r="AA29" s="28"/>
      <c r="AB29" s="28"/>
      <c r="AC29" s="28"/>
      <c r="AD29" s="28"/>
      <c r="AE29" s="28"/>
    </row>
    <row r="30" spans="1:31" ht="102" customHeight="1">
      <c r="A30" s="19"/>
      <c r="C30" s="30" t="s">
        <v>2</v>
      </c>
      <c r="D30" s="31" t="s">
        <v>15</v>
      </c>
      <c r="E30" s="32" t="s">
        <v>16</v>
      </c>
      <c r="F30" s="33" t="s">
        <v>17</v>
      </c>
      <c r="G30" s="34" t="s">
        <v>18</v>
      </c>
      <c r="I30" s="223" t="s">
        <v>2</v>
      </c>
      <c r="J30" s="224" t="s">
        <v>19</v>
      </c>
      <c r="K30" s="224" t="s">
        <v>20</v>
      </c>
      <c r="L30" s="301" t="s">
        <v>21</v>
      </c>
      <c r="M30" s="302"/>
      <c r="N30" s="228" t="s">
        <v>22</v>
      </c>
      <c r="X30" s="28"/>
      <c r="Y30" s="28"/>
      <c r="Z30" s="28"/>
      <c r="AA30" s="28"/>
      <c r="AB30" s="28"/>
      <c r="AC30" s="28"/>
      <c r="AD30" s="28"/>
      <c r="AE30" s="28"/>
    </row>
    <row r="31" spans="1:31" ht="39.75" customHeight="1">
      <c r="A31" s="19"/>
      <c r="C31" s="35" t="s">
        <v>23</v>
      </c>
      <c r="D31" s="36">
        <f>M85</f>
        <v>0</v>
      </c>
      <c r="E31" s="37">
        <f>G85</f>
        <v>107676</v>
      </c>
      <c r="F31" s="38">
        <f t="shared" ref="F31:F42" si="0">D31/E31*1000000</f>
        <v>0</v>
      </c>
      <c r="G31" s="308">
        <f>D43/E43*1000000</f>
        <v>0</v>
      </c>
      <c r="I31" s="225" t="s">
        <v>23</v>
      </c>
      <c r="J31" s="37">
        <f>L85</f>
        <v>0</v>
      </c>
      <c r="K31" s="37">
        <f>E31</f>
        <v>107676</v>
      </c>
      <c r="L31" s="264">
        <f>J31/K31*200000</f>
        <v>0</v>
      </c>
      <c r="M31" s="265"/>
      <c r="N31" s="311">
        <f>J43/K43*1000000</f>
        <v>1.020997841610563</v>
      </c>
      <c r="X31" s="28"/>
      <c r="Y31" s="28"/>
      <c r="Z31" s="28"/>
      <c r="AA31" s="28"/>
      <c r="AB31" s="28"/>
      <c r="AC31" s="28"/>
      <c r="AD31" s="28"/>
      <c r="AE31" s="28"/>
    </row>
    <row r="32" spans="1:31" ht="39.75" customHeight="1">
      <c r="A32" s="19"/>
      <c r="C32" s="35" t="s">
        <v>24</v>
      </c>
      <c r="D32" s="36">
        <f t="shared" ref="D32:D42" si="1">M86</f>
        <v>0</v>
      </c>
      <c r="E32" s="37">
        <f t="shared" ref="E32:E42" si="2">G86</f>
        <v>96264</v>
      </c>
      <c r="F32" s="38">
        <f t="shared" si="0"/>
        <v>0</v>
      </c>
      <c r="G32" s="309"/>
      <c r="I32" s="225" t="s">
        <v>24</v>
      </c>
      <c r="J32" s="37">
        <f t="shared" ref="J32:J42" si="3">L86</f>
        <v>0</v>
      </c>
      <c r="K32" s="37">
        <f t="shared" ref="K32:K43" si="4">E32</f>
        <v>96264</v>
      </c>
      <c r="L32" s="264">
        <f>J32/K32*200000</f>
        <v>0</v>
      </c>
      <c r="M32" s="265"/>
      <c r="N32" s="312"/>
      <c r="X32" s="28"/>
      <c r="Y32" s="28"/>
      <c r="Z32" s="28"/>
      <c r="AA32" s="28"/>
      <c r="AB32" s="28"/>
      <c r="AC32" s="28"/>
      <c r="AD32" s="28"/>
      <c r="AE32" s="28"/>
    </row>
    <row r="33" spans="1:32" ht="39.75" customHeight="1">
      <c r="A33" s="19"/>
      <c r="C33" s="35" t="s">
        <v>25</v>
      </c>
      <c r="D33" s="36">
        <f t="shared" si="1"/>
        <v>0</v>
      </c>
      <c r="E33" s="37">
        <f t="shared" si="2"/>
        <v>96534</v>
      </c>
      <c r="F33" s="38">
        <f t="shared" si="0"/>
        <v>0</v>
      </c>
      <c r="G33" s="309"/>
      <c r="I33" s="225" t="s">
        <v>25</v>
      </c>
      <c r="J33" s="37">
        <f t="shared" si="3"/>
        <v>0</v>
      </c>
      <c r="K33" s="37">
        <f t="shared" si="4"/>
        <v>96534</v>
      </c>
      <c r="L33" s="264">
        <f t="shared" ref="L33:L42" si="5">J33/K33*200000</f>
        <v>0</v>
      </c>
      <c r="M33" s="265"/>
      <c r="N33" s="312"/>
      <c r="X33" s="28"/>
      <c r="Y33" s="28"/>
      <c r="Z33" s="28"/>
      <c r="AA33" s="28"/>
      <c r="AB33" s="28"/>
      <c r="AC33" s="28"/>
      <c r="AD33" s="28"/>
      <c r="AE33" s="28"/>
    </row>
    <row r="34" spans="1:32" ht="39.75" customHeight="1">
      <c r="A34" s="19"/>
      <c r="C34" s="35" t="s">
        <v>26</v>
      </c>
      <c r="D34" s="36">
        <f t="shared" si="1"/>
        <v>0</v>
      </c>
      <c r="E34" s="37">
        <f t="shared" si="2"/>
        <v>83745</v>
      </c>
      <c r="F34" s="38">
        <f t="shared" si="0"/>
        <v>0</v>
      </c>
      <c r="G34" s="309"/>
      <c r="I34" s="225" t="s">
        <v>26</v>
      </c>
      <c r="J34" s="37">
        <f t="shared" si="3"/>
        <v>0</v>
      </c>
      <c r="K34" s="37">
        <f t="shared" si="4"/>
        <v>83745</v>
      </c>
      <c r="L34" s="264">
        <f t="shared" si="5"/>
        <v>0</v>
      </c>
      <c r="M34" s="265"/>
      <c r="N34" s="312"/>
      <c r="X34" s="28"/>
      <c r="Y34" s="28"/>
      <c r="Z34" s="28"/>
      <c r="AA34" s="28"/>
      <c r="AB34" s="28"/>
      <c r="AC34" s="28"/>
      <c r="AD34" s="28"/>
      <c r="AE34" s="28"/>
    </row>
    <row r="35" spans="1:32" ht="39.75" customHeight="1">
      <c r="A35" s="19"/>
      <c r="C35" s="35" t="s">
        <v>27</v>
      </c>
      <c r="D35" s="36">
        <f t="shared" si="1"/>
        <v>0</v>
      </c>
      <c r="E35" s="37">
        <f t="shared" si="2"/>
        <v>88128</v>
      </c>
      <c r="F35" s="38">
        <f t="shared" si="0"/>
        <v>0</v>
      </c>
      <c r="G35" s="309"/>
      <c r="I35" s="225" t="s">
        <v>27</v>
      </c>
      <c r="J35" s="37">
        <f t="shared" si="3"/>
        <v>0</v>
      </c>
      <c r="K35" s="37">
        <f t="shared" si="4"/>
        <v>88128</v>
      </c>
      <c r="L35" s="264">
        <f t="shared" si="5"/>
        <v>0</v>
      </c>
      <c r="M35" s="265"/>
      <c r="N35" s="312"/>
      <c r="X35" s="28"/>
      <c r="Y35" s="28"/>
      <c r="Z35" s="28"/>
      <c r="AA35" s="28"/>
      <c r="AB35" s="28"/>
      <c r="AC35" s="28"/>
      <c r="AD35" s="28"/>
      <c r="AE35" s="28"/>
    </row>
    <row r="36" spans="1:32" ht="39.75" customHeight="1">
      <c r="A36" s="19"/>
      <c r="C36" s="35" t="s">
        <v>28</v>
      </c>
      <c r="D36" s="36">
        <f t="shared" si="1"/>
        <v>0</v>
      </c>
      <c r="E36" s="37">
        <f t="shared" si="2"/>
        <v>75798</v>
      </c>
      <c r="F36" s="38">
        <f t="shared" si="0"/>
        <v>0</v>
      </c>
      <c r="G36" s="309"/>
      <c r="I36" s="225" t="s">
        <v>28</v>
      </c>
      <c r="J36" s="37">
        <f t="shared" si="3"/>
        <v>1</v>
      </c>
      <c r="K36" s="37">
        <f t="shared" si="4"/>
        <v>75798</v>
      </c>
      <c r="L36" s="264">
        <f t="shared" si="5"/>
        <v>2.6385920472835696</v>
      </c>
      <c r="M36" s="265"/>
      <c r="N36" s="312"/>
      <c r="X36" s="28"/>
      <c r="Y36" s="28"/>
      <c r="Z36" s="28"/>
      <c r="AA36" s="28"/>
      <c r="AB36" s="28"/>
      <c r="AC36" s="28"/>
      <c r="AD36" s="28"/>
      <c r="AE36" s="28"/>
    </row>
    <row r="37" spans="1:32" ht="39.75" customHeight="1">
      <c r="A37" s="19"/>
      <c r="C37" s="35" t="s">
        <v>29</v>
      </c>
      <c r="D37" s="36">
        <f t="shared" si="1"/>
        <v>0</v>
      </c>
      <c r="E37" s="37">
        <f t="shared" si="2"/>
        <v>89856</v>
      </c>
      <c r="F37" s="38">
        <f t="shared" si="0"/>
        <v>0</v>
      </c>
      <c r="G37" s="309"/>
      <c r="I37" s="225" t="s">
        <v>29</v>
      </c>
      <c r="J37" s="37">
        <f t="shared" si="3"/>
        <v>0</v>
      </c>
      <c r="K37" s="37">
        <f t="shared" si="4"/>
        <v>89856</v>
      </c>
      <c r="L37" s="264">
        <f t="shared" si="5"/>
        <v>0</v>
      </c>
      <c r="M37" s="265"/>
      <c r="N37" s="312"/>
      <c r="X37" s="28"/>
      <c r="Y37" s="28"/>
      <c r="Z37" s="28"/>
      <c r="AA37" s="28"/>
      <c r="AB37" s="28"/>
      <c r="AC37" s="28"/>
      <c r="AD37" s="28"/>
      <c r="AE37" s="28"/>
    </row>
    <row r="38" spans="1:32" ht="39.75" customHeight="1">
      <c r="A38" s="19"/>
      <c r="C38" s="35" t="s">
        <v>30</v>
      </c>
      <c r="D38" s="36">
        <f t="shared" si="1"/>
        <v>0</v>
      </c>
      <c r="E38" s="37">
        <f t="shared" si="2"/>
        <v>68679</v>
      </c>
      <c r="F38" s="38">
        <f t="shared" si="0"/>
        <v>0</v>
      </c>
      <c r="G38" s="309"/>
      <c r="I38" s="225" t="s">
        <v>30</v>
      </c>
      <c r="J38" s="37">
        <f t="shared" si="3"/>
        <v>0</v>
      </c>
      <c r="K38" s="37">
        <f t="shared" si="4"/>
        <v>68679</v>
      </c>
      <c r="L38" s="264">
        <f>J38/K38*200000</f>
        <v>0</v>
      </c>
      <c r="M38" s="265"/>
      <c r="N38" s="312"/>
      <c r="X38" s="28"/>
      <c r="Y38" s="28"/>
      <c r="Z38" s="28"/>
      <c r="AA38" s="28"/>
      <c r="AB38" s="28"/>
      <c r="AC38" s="28"/>
      <c r="AD38" s="28"/>
      <c r="AE38" s="28"/>
    </row>
    <row r="39" spans="1:32" ht="39.75" customHeight="1">
      <c r="A39" s="19"/>
      <c r="C39" s="35" t="s">
        <v>31</v>
      </c>
      <c r="D39" s="36">
        <f t="shared" si="1"/>
        <v>0</v>
      </c>
      <c r="E39" s="37">
        <f t="shared" si="2"/>
        <v>78921</v>
      </c>
      <c r="F39" s="38">
        <f t="shared" si="0"/>
        <v>0</v>
      </c>
      <c r="G39" s="309"/>
      <c r="I39" s="225" t="s">
        <v>31</v>
      </c>
      <c r="J39" s="37">
        <f t="shared" si="3"/>
        <v>0</v>
      </c>
      <c r="K39" s="37">
        <f t="shared" si="4"/>
        <v>78921</v>
      </c>
      <c r="L39" s="264">
        <f t="shared" si="5"/>
        <v>0</v>
      </c>
      <c r="M39" s="265"/>
      <c r="N39" s="312"/>
      <c r="X39" s="28"/>
      <c r="Y39" s="28"/>
      <c r="Z39" s="28"/>
      <c r="AA39" s="28"/>
      <c r="AB39" s="28"/>
      <c r="AC39" s="28"/>
      <c r="AD39" s="28"/>
      <c r="AE39" s="28"/>
    </row>
    <row r="40" spans="1:32" ht="39.75" customHeight="1">
      <c r="A40" s="19"/>
      <c r="C40" s="35" t="s">
        <v>32</v>
      </c>
      <c r="D40" s="36">
        <f t="shared" si="1"/>
        <v>0</v>
      </c>
      <c r="E40" s="37">
        <f t="shared" si="2"/>
        <v>70443</v>
      </c>
      <c r="F40" s="38">
        <f t="shared" si="0"/>
        <v>0</v>
      </c>
      <c r="G40" s="309"/>
      <c r="I40" s="225" t="s">
        <v>32</v>
      </c>
      <c r="J40" s="37">
        <f t="shared" si="3"/>
        <v>0</v>
      </c>
      <c r="K40" s="37">
        <f t="shared" si="4"/>
        <v>70443</v>
      </c>
      <c r="L40" s="264">
        <f t="shared" si="5"/>
        <v>0</v>
      </c>
      <c r="M40" s="265"/>
      <c r="N40" s="312"/>
      <c r="X40" s="28"/>
      <c r="Y40" s="28"/>
      <c r="Z40" s="28"/>
      <c r="AA40" s="28"/>
      <c r="AB40" s="28"/>
      <c r="AC40" s="28"/>
      <c r="AD40" s="28"/>
      <c r="AE40" s="28"/>
    </row>
    <row r="41" spans="1:32" ht="39.75" customHeight="1">
      <c r="A41" s="19"/>
      <c r="C41" s="35" t="s">
        <v>33</v>
      </c>
      <c r="D41" s="36">
        <f t="shared" si="1"/>
        <v>0</v>
      </c>
      <c r="E41" s="37">
        <f t="shared" si="2"/>
        <v>65430</v>
      </c>
      <c r="F41" s="38">
        <f t="shared" si="0"/>
        <v>0</v>
      </c>
      <c r="G41" s="309"/>
      <c r="I41" s="225" t="s">
        <v>33</v>
      </c>
      <c r="J41" s="37">
        <f t="shared" si="3"/>
        <v>0</v>
      </c>
      <c r="K41" s="37">
        <f t="shared" si="4"/>
        <v>65430</v>
      </c>
      <c r="L41" s="264">
        <f t="shared" si="5"/>
        <v>0</v>
      </c>
      <c r="M41" s="265"/>
      <c r="N41" s="312"/>
      <c r="X41" s="28"/>
      <c r="Y41" s="28"/>
      <c r="Z41" s="28"/>
      <c r="AA41" s="28"/>
      <c r="AB41" s="28"/>
      <c r="AC41" s="28"/>
      <c r="AD41" s="28"/>
      <c r="AE41" s="28"/>
    </row>
    <row r="42" spans="1:32" ht="39.75" customHeight="1">
      <c r="A42" s="19"/>
      <c r="C42" s="39" t="s">
        <v>34</v>
      </c>
      <c r="D42" s="36">
        <f t="shared" si="1"/>
        <v>0</v>
      </c>
      <c r="E42" s="37">
        <f t="shared" si="2"/>
        <v>57960</v>
      </c>
      <c r="F42" s="40">
        <f t="shared" si="0"/>
        <v>0</v>
      </c>
      <c r="G42" s="310"/>
      <c r="I42" s="226" t="s">
        <v>34</v>
      </c>
      <c r="J42" s="37">
        <f t="shared" si="3"/>
        <v>0</v>
      </c>
      <c r="K42" s="227">
        <f t="shared" si="4"/>
        <v>57960</v>
      </c>
      <c r="L42" s="264">
        <f t="shared" si="5"/>
        <v>0</v>
      </c>
      <c r="M42" s="265"/>
      <c r="N42" s="313"/>
      <c r="X42" s="28"/>
      <c r="Y42" s="28"/>
      <c r="Z42" s="28"/>
      <c r="AA42" s="28"/>
      <c r="AB42" s="28"/>
      <c r="AC42" s="28"/>
      <c r="AD42" s="28"/>
      <c r="AE42" s="28"/>
    </row>
    <row r="43" spans="1:32" ht="36" customHeight="1">
      <c r="D43" s="41">
        <f>SUM(D31:D42)</f>
        <v>0</v>
      </c>
      <c r="E43" s="42">
        <f>SUM(E31:E42)</f>
        <v>979434</v>
      </c>
      <c r="F43" s="43"/>
      <c r="G43" s="44"/>
      <c r="H43" s="44"/>
      <c r="I43" s="44"/>
      <c r="J43" s="42">
        <f>SUM(J31:J42)</f>
        <v>1</v>
      </c>
      <c r="K43" s="45">
        <f t="shared" si="4"/>
        <v>979434</v>
      </c>
    </row>
    <row r="44" spans="1:32" ht="27.75" customHeight="1">
      <c r="D44" s="46"/>
      <c r="J44" s="47"/>
      <c r="K44" s="47"/>
      <c r="L44" s="47"/>
      <c r="M44" s="48"/>
      <c r="N44" s="48"/>
    </row>
    <row r="45" spans="1:32" ht="17.25" customHeight="1"/>
    <row r="46" spans="1:32" ht="39" customHeight="1" thickBot="1">
      <c r="B46" s="49"/>
      <c r="C46" s="307" t="s">
        <v>35</v>
      </c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AE46" s="50"/>
    </row>
    <row r="47" spans="1:32" ht="66" customHeight="1" thickTop="1" thickBot="1">
      <c r="C47" s="321" t="s">
        <v>36</v>
      </c>
      <c r="D47" s="322"/>
      <c r="E47" s="322"/>
      <c r="F47" s="322"/>
      <c r="G47" s="323"/>
      <c r="H47" s="324" t="s">
        <v>37</v>
      </c>
      <c r="I47" s="325"/>
      <c r="J47" s="325"/>
      <c r="K47" s="325"/>
      <c r="L47" s="325"/>
      <c r="M47" s="325"/>
      <c r="N47" s="325"/>
      <c r="O47" s="325"/>
      <c r="P47" s="325"/>
      <c r="Q47" s="326"/>
      <c r="R47" s="329" t="s">
        <v>38</v>
      </c>
      <c r="S47" s="303" t="s">
        <v>39</v>
      </c>
      <c r="T47" s="303" t="s">
        <v>40</v>
      </c>
      <c r="U47" s="303" t="s">
        <v>41</v>
      </c>
      <c r="V47" s="303" t="s">
        <v>42</v>
      </c>
      <c r="W47" s="314" t="s">
        <v>43</v>
      </c>
      <c r="X47" s="314" t="s">
        <v>44</v>
      </c>
      <c r="Y47" s="303" t="s">
        <v>45</v>
      </c>
      <c r="Z47" s="305" t="s">
        <v>46</v>
      </c>
      <c r="AA47" s="303" t="s">
        <v>47</v>
      </c>
      <c r="AB47" s="317" t="s">
        <v>48</v>
      </c>
      <c r="AD47" s="51"/>
      <c r="AE47" s="52"/>
    </row>
    <row r="48" spans="1:32" ht="44.5" thickTop="1" thickBot="1">
      <c r="B48" s="222" t="s">
        <v>49</v>
      </c>
      <c r="C48" s="214" t="s">
        <v>50</v>
      </c>
      <c r="D48" s="215" t="s">
        <v>51</v>
      </c>
      <c r="E48" s="53" t="s">
        <v>52</v>
      </c>
      <c r="F48" s="216" t="s">
        <v>53</v>
      </c>
      <c r="G48" s="217" t="s">
        <v>54</v>
      </c>
      <c r="H48" s="208" t="s">
        <v>55</v>
      </c>
      <c r="I48" s="209" t="s">
        <v>56</v>
      </c>
      <c r="J48" s="208" t="s">
        <v>57</v>
      </c>
      <c r="K48" s="209" t="s">
        <v>58</v>
      </c>
      <c r="L48" s="209" t="s">
        <v>59</v>
      </c>
      <c r="M48" s="209" t="s">
        <v>60</v>
      </c>
      <c r="N48" s="210" t="s">
        <v>61</v>
      </c>
      <c r="O48" s="211" t="s">
        <v>62</v>
      </c>
      <c r="P48" s="212" t="s">
        <v>63</v>
      </c>
      <c r="Q48" s="213" t="s">
        <v>64</v>
      </c>
      <c r="R48" s="330"/>
      <c r="S48" s="304"/>
      <c r="T48" s="304"/>
      <c r="U48" s="304"/>
      <c r="V48" s="304"/>
      <c r="W48" s="315"/>
      <c r="X48" s="316"/>
      <c r="Y48" s="304"/>
      <c r="Z48" s="306"/>
      <c r="AA48" s="304"/>
      <c r="AB48" s="318"/>
      <c r="AD48" s="51"/>
      <c r="AE48" s="54"/>
      <c r="AF48" s="55"/>
    </row>
    <row r="49" spans="2:31" s="1" customFormat="1" ht="29.5" thickTop="1">
      <c r="B49" s="56">
        <v>20</v>
      </c>
      <c r="C49" s="57" t="s">
        <v>65</v>
      </c>
      <c r="D49" s="58">
        <f>F49/B49</f>
        <v>0</v>
      </c>
      <c r="E49" s="59">
        <f t="shared" ref="E49:E60" si="6">D49*9</f>
        <v>0</v>
      </c>
      <c r="F49" s="161">
        <v>0</v>
      </c>
      <c r="G49" s="162">
        <v>0.1</v>
      </c>
      <c r="H49" s="60"/>
      <c r="I49" s="61"/>
      <c r="J49" s="61"/>
      <c r="K49" s="61"/>
      <c r="L49" s="61"/>
      <c r="M49" s="61"/>
      <c r="N49" s="62"/>
      <c r="O49" s="63"/>
      <c r="P49" s="61"/>
      <c r="Q49" s="198"/>
      <c r="R49" s="205" t="s">
        <v>23</v>
      </c>
      <c r="S49" s="206">
        <f t="shared" ref="S49:V60" si="7">H49</f>
        <v>0</v>
      </c>
      <c r="T49" s="206">
        <f t="shared" si="7"/>
        <v>0</v>
      </c>
      <c r="U49" s="206">
        <f t="shared" si="7"/>
        <v>0</v>
      </c>
      <c r="V49" s="206">
        <f t="shared" si="7"/>
        <v>0</v>
      </c>
      <c r="W49" s="207">
        <f t="shared" ref="W49:W84" si="8">L49</f>
        <v>0</v>
      </c>
      <c r="X49" s="206">
        <f t="shared" ref="X49:X84" si="9">M49</f>
        <v>0</v>
      </c>
      <c r="Y49" s="206">
        <f t="shared" ref="Y49:Y84" si="10">N49</f>
        <v>0</v>
      </c>
      <c r="Z49" s="206">
        <f t="shared" ref="Z49:Z84" si="11">O49</f>
        <v>0</v>
      </c>
      <c r="AA49" s="206">
        <f t="shared" ref="AA49:AA84" si="12">P49</f>
        <v>0</v>
      </c>
      <c r="AB49" s="206">
        <f t="shared" ref="AB49:AB84" si="13">Q49</f>
        <v>0</v>
      </c>
      <c r="AD49" s="67"/>
      <c r="AE49" s="68"/>
    </row>
    <row r="50" spans="2:31" ht="29">
      <c r="B50" s="56">
        <v>20</v>
      </c>
      <c r="C50" s="69" t="s">
        <v>66</v>
      </c>
      <c r="D50" s="58">
        <f>F50/B50</f>
        <v>0</v>
      </c>
      <c r="E50" s="59">
        <f t="shared" si="6"/>
        <v>0</v>
      </c>
      <c r="F50" s="161">
        <v>0</v>
      </c>
      <c r="G50" s="162">
        <v>0.1</v>
      </c>
      <c r="H50" s="60"/>
      <c r="I50" s="70"/>
      <c r="J50" s="70"/>
      <c r="K50" s="70"/>
      <c r="L50" s="70"/>
      <c r="M50" s="70"/>
      <c r="N50" s="62"/>
      <c r="O50" s="71"/>
      <c r="P50" s="70"/>
      <c r="Q50" s="198"/>
      <c r="R50" s="64" t="s">
        <v>24</v>
      </c>
      <c r="S50" s="65">
        <f t="shared" si="7"/>
        <v>0</v>
      </c>
      <c r="T50" s="65">
        <f t="shared" si="7"/>
        <v>0</v>
      </c>
      <c r="U50" s="65">
        <f t="shared" si="7"/>
        <v>0</v>
      </c>
      <c r="V50" s="65">
        <f t="shared" si="7"/>
        <v>0</v>
      </c>
      <c r="W50" s="66">
        <f t="shared" si="8"/>
        <v>0</v>
      </c>
      <c r="X50" s="65">
        <f t="shared" si="9"/>
        <v>0</v>
      </c>
      <c r="Y50" s="65">
        <f t="shared" si="10"/>
        <v>0</v>
      </c>
      <c r="Z50" s="65">
        <f t="shared" si="11"/>
        <v>0</v>
      </c>
      <c r="AA50" s="65">
        <f t="shared" si="12"/>
        <v>0</v>
      </c>
      <c r="AB50" s="65">
        <f t="shared" si="13"/>
        <v>0</v>
      </c>
      <c r="AD50" s="67"/>
      <c r="AE50" s="72"/>
    </row>
    <row r="51" spans="2:31" ht="29">
      <c r="B51" s="73">
        <v>23</v>
      </c>
      <c r="C51" s="69" t="s">
        <v>67</v>
      </c>
      <c r="D51" s="58">
        <f t="shared" ref="D51:D60" si="14">F51/B51</f>
        <v>0</v>
      </c>
      <c r="E51" s="59">
        <f t="shared" si="6"/>
        <v>0</v>
      </c>
      <c r="F51" s="161">
        <v>0</v>
      </c>
      <c r="G51" s="162">
        <v>0</v>
      </c>
      <c r="H51" s="74"/>
      <c r="I51" s="70"/>
      <c r="J51" s="70"/>
      <c r="K51" s="70"/>
      <c r="L51" s="70"/>
      <c r="M51" s="70"/>
      <c r="N51" s="62"/>
      <c r="O51" s="71"/>
      <c r="P51" s="70"/>
      <c r="Q51" s="198"/>
      <c r="R51" s="64" t="s">
        <v>25</v>
      </c>
      <c r="S51" s="65">
        <f t="shared" si="7"/>
        <v>0</v>
      </c>
      <c r="T51" s="65">
        <f t="shared" si="7"/>
        <v>0</v>
      </c>
      <c r="U51" s="65">
        <f t="shared" si="7"/>
        <v>0</v>
      </c>
      <c r="V51" s="65">
        <f t="shared" si="7"/>
        <v>0</v>
      </c>
      <c r="W51" s="66">
        <f t="shared" si="8"/>
        <v>0</v>
      </c>
      <c r="X51" s="65">
        <f t="shared" si="9"/>
        <v>0</v>
      </c>
      <c r="Y51" s="65">
        <f t="shared" si="10"/>
        <v>0</v>
      </c>
      <c r="Z51" s="65">
        <f t="shared" si="11"/>
        <v>0</v>
      </c>
      <c r="AA51" s="65">
        <f t="shared" si="12"/>
        <v>0</v>
      </c>
      <c r="AB51" s="65">
        <f t="shared" si="13"/>
        <v>0</v>
      </c>
      <c r="AD51" s="67"/>
      <c r="AE51" s="75"/>
    </row>
    <row r="52" spans="2:31" ht="29">
      <c r="B52" s="56">
        <v>20</v>
      </c>
      <c r="C52" s="69" t="s">
        <v>68</v>
      </c>
      <c r="D52" s="58">
        <f t="shared" si="14"/>
        <v>0</v>
      </c>
      <c r="E52" s="59">
        <f t="shared" si="6"/>
        <v>0</v>
      </c>
      <c r="F52" s="161">
        <v>0</v>
      </c>
      <c r="G52" s="162">
        <v>0</v>
      </c>
      <c r="H52" s="74"/>
      <c r="I52" s="70"/>
      <c r="J52" s="70"/>
      <c r="K52" s="70"/>
      <c r="L52" s="70"/>
      <c r="M52" s="70"/>
      <c r="N52" s="62"/>
      <c r="O52" s="71"/>
      <c r="P52" s="70"/>
      <c r="Q52" s="198"/>
      <c r="R52" s="64" t="s">
        <v>26</v>
      </c>
      <c r="S52" s="65">
        <f t="shared" si="7"/>
        <v>0</v>
      </c>
      <c r="T52" s="65">
        <f t="shared" si="7"/>
        <v>0</v>
      </c>
      <c r="U52" s="65">
        <f t="shared" si="7"/>
        <v>0</v>
      </c>
      <c r="V52" s="65">
        <f t="shared" si="7"/>
        <v>0</v>
      </c>
      <c r="W52" s="66">
        <f t="shared" si="8"/>
        <v>0</v>
      </c>
      <c r="X52" s="65">
        <f t="shared" si="9"/>
        <v>0</v>
      </c>
      <c r="Y52" s="65">
        <f t="shared" si="10"/>
        <v>0</v>
      </c>
      <c r="Z52" s="65">
        <f t="shared" si="11"/>
        <v>0</v>
      </c>
      <c r="AA52" s="65">
        <f t="shared" si="12"/>
        <v>0</v>
      </c>
      <c r="AB52" s="65">
        <f t="shared" si="13"/>
        <v>0</v>
      </c>
      <c r="AD52" s="67"/>
    </row>
    <row r="53" spans="2:31" ht="29">
      <c r="B53" s="56">
        <v>20</v>
      </c>
      <c r="C53" s="69" t="s">
        <v>69</v>
      </c>
      <c r="D53" s="58">
        <f t="shared" si="14"/>
        <v>0</v>
      </c>
      <c r="E53" s="59">
        <f t="shared" si="6"/>
        <v>0</v>
      </c>
      <c r="F53" s="161">
        <v>0</v>
      </c>
      <c r="G53" s="162">
        <v>0</v>
      </c>
      <c r="H53" s="74"/>
      <c r="I53" s="70"/>
      <c r="J53" s="70"/>
      <c r="K53" s="70"/>
      <c r="L53" s="70"/>
      <c r="M53" s="70"/>
      <c r="N53" s="62"/>
      <c r="O53" s="71"/>
      <c r="P53" s="70"/>
      <c r="Q53" s="198"/>
      <c r="R53" s="64" t="s">
        <v>27</v>
      </c>
      <c r="S53" s="65">
        <f t="shared" si="7"/>
        <v>0</v>
      </c>
      <c r="T53" s="65">
        <f t="shared" si="7"/>
        <v>0</v>
      </c>
      <c r="U53" s="65">
        <f t="shared" si="7"/>
        <v>0</v>
      </c>
      <c r="V53" s="65">
        <f t="shared" si="7"/>
        <v>0</v>
      </c>
      <c r="W53" s="66">
        <f t="shared" si="8"/>
        <v>0</v>
      </c>
      <c r="X53" s="65">
        <f t="shared" si="9"/>
        <v>0</v>
      </c>
      <c r="Y53" s="65">
        <f t="shared" si="10"/>
        <v>0</v>
      </c>
      <c r="Z53" s="65">
        <f t="shared" si="11"/>
        <v>0</v>
      </c>
      <c r="AA53" s="65">
        <f t="shared" si="12"/>
        <v>0</v>
      </c>
      <c r="AB53" s="65">
        <f t="shared" si="13"/>
        <v>0</v>
      </c>
      <c r="AD53" s="67"/>
    </row>
    <row r="54" spans="2:31" ht="29">
      <c r="B54" s="56">
        <v>23</v>
      </c>
      <c r="C54" s="69" t="s">
        <v>70</v>
      </c>
      <c r="D54" s="58">
        <f t="shared" si="14"/>
        <v>0</v>
      </c>
      <c r="E54" s="59">
        <f t="shared" si="6"/>
        <v>0</v>
      </c>
      <c r="F54" s="161">
        <v>0</v>
      </c>
      <c r="G54" s="162">
        <v>0</v>
      </c>
      <c r="H54" s="74"/>
      <c r="I54" s="70"/>
      <c r="J54" s="70"/>
      <c r="K54" s="70"/>
      <c r="L54" s="70"/>
      <c r="M54" s="70"/>
      <c r="N54" s="62"/>
      <c r="O54" s="71"/>
      <c r="P54" s="70"/>
      <c r="Q54" s="198"/>
      <c r="R54" s="64" t="s">
        <v>28</v>
      </c>
      <c r="S54" s="65">
        <f t="shared" si="7"/>
        <v>0</v>
      </c>
      <c r="T54" s="65">
        <f t="shared" si="7"/>
        <v>0</v>
      </c>
      <c r="U54" s="65">
        <f t="shared" si="7"/>
        <v>0</v>
      </c>
      <c r="V54" s="65">
        <f t="shared" si="7"/>
        <v>0</v>
      </c>
      <c r="W54" s="66">
        <f t="shared" si="8"/>
        <v>0</v>
      </c>
      <c r="X54" s="65">
        <f t="shared" si="9"/>
        <v>0</v>
      </c>
      <c r="Y54" s="65">
        <f t="shared" si="10"/>
        <v>0</v>
      </c>
      <c r="Z54" s="65">
        <f t="shared" si="11"/>
        <v>0</v>
      </c>
      <c r="AA54" s="65">
        <f t="shared" si="12"/>
        <v>0</v>
      </c>
      <c r="AB54" s="65">
        <f t="shared" si="13"/>
        <v>0</v>
      </c>
      <c r="AD54" s="67"/>
    </row>
    <row r="55" spans="2:31" ht="29">
      <c r="B55" s="56">
        <v>21</v>
      </c>
      <c r="C55" s="69" t="s">
        <v>71</v>
      </c>
      <c r="D55" s="58">
        <f t="shared" si="14"/>
        <v>0</v>
      </c>
      <c r="E55" s="59">
        <f t="shared" si="6"/>
        <v>0</v>
      </c>
      <c r="F55" s="161">
        <v>0</v>
      </c>
      <c r="G55" s="162">
        <v>0</v>
      </c>
      <c r="H55" s="74"/>
      <c r="I55" s="70"/>
      <c r="J55" s="70"/>
      <c r="K55" s="70"/>
      <c r="L55" s="70"/>
      <c r="M55" s="70"/>
      <c r="N55" s="62"/>
      <c r="O55" s="71"/>
      <c r="P55" s="70"/>
      <c r="Q55" s="199"/>
      <c r="R55" s="64" t="s">
        <v>29</v>
      </c>
      <c r="S55" s="65">
        <f t="shared" si="7"/>
        <v>0</v>
      </c>
      <c r="T55" s="65">
        <f t="shared" si="7"/>
        <v>0</v>
      </c>
      <c r="U55" s="65">
        <f t="shared" si="7"/>
        <v>0</v>
      </c>
      <c r="V55" s="65">
        <f t="shared" si="7"/>
        <v>0</v>
      </c>
      <c r="W55" s="66">
        <f t="shared" si="8"/>
        <v>0</v>
      </c>
      <c r="X55" s="65">
        <f t="shared" si="9"/>
        <v>0</v>
      </c>
      <c r="Y55" s="65">
        <f t="shared" si="10"/>
        <v>0</v>
      </c>
      <c r="Z55" s="65">
        <f t="shared" si="11"/>
        <v>0</v>
      </c>
      <c r="AA55" s="65">
        <f t="shared" si="12"/>
        <v>0</v>
      </c>
      <c r="AB55" s="65">
        <f t="shared" si="13"/>
        <v>0</v>
      </c>
      <c r="AD55" s="67"/>
    </row>
    <row r="56" spans="2:31" ht="29">
      <c r="B56" s="56">
        <v>21</v>
      </c>
      <c r="C56" s="69" t="s">
        <v>72</v>
      </c>
      <c r="D56" s="58">
        <f t="shared" si="14"/>
        <v>0</v>
      </c>
      <c r="E56" s="59">
        <f t="shared" si="6"/>
        <v>0</v>
      </c>
      <c r="F56" s="161">
        <v>0</v>
      </c>
      <c r="G56" s="162">
        <v>0</v>
      </c>
      <c r="H56" s="76"/>
      <c r="I56" s="76"/>
      <c r="J56" s="76"/>
      <c r="K56" s="76"/>
      <c r="L56" s="76"/>
      <c r="M56" s="76"/>
      <c r="N56" s="77"/>
      <c r="O56" s="78"/>
      <c r="P56" s="79"/>
      <c r="Q56" s="199"/>
      <c r="R56" s="64" t="s">
        <v>30</v>
      </c>
      <c r="S56" s="65">
        <f t="shared" si="7"/>
        <v>0</v>
      </c>
      <c r="T56" s="65">
        <f t="shared" si="7"/>
        <v>0</v>
      </c>
      <c r="U56" s="65">
        <f t="shared" si="7"/>
        <v>0</v>
      </c>
      <c r="V56" s="65">
        <f t="shared" si="7"/>
        <v>0</v>
      </c>
      <c r="W56" s="66">
        <f t="shared" si="8"/>
        <v>0</v>
      </c>
      <c r="X56" s="65">
        <f t="shared" si="9"/>
        <v>0</v>
      </c>
      <c r="Y56" s="65">
        <f t="shared" si="10"/>
        <v>0</v>
      </c>
      <c r="Z56" s="65">
        <f t="shared" si="11"/>
        <v>0</v>
      </c>
      <c r="AA56" s="65">
        <f t="shared" si="12"/>
        <v>0</v>
      </c>
      <c r="AB56" s="65">
        <f t="shared" si="13"/>
        <v>0</v>
      </c>
      <c r="AD56" s="67"/>
    </row>
    <row r="57" spans="2:31" ht="29">
      <c r="B57" s="56">
        <v>22</v>
      </c>
      <c r="C57" s="69" t="s">
        <v>73</v>
      </c>
      <c r="D57" s="58">
        <f t="shared" si="14"/>
        <v>0</v>
      </c>
      <c r="E57" s="59">
        <f t="shared" si="6"/>
        <v>0</v>
      </c>
      <c r="F57" s="161">
        <v>0</v>
      </c>
      <c r="G57" s="162">
        <v>0</v>
      </c>
      <c r="H57" s="76"/>
      <c r="I57" s="79"/>
      <c r="J57" s="80"/>
      <c r="K57" s="80"/>
      <c r="L57" s="80"/>
      <c r="M57" s="80"/>
      <c r="N57" s="77"/>
      <c r="O57" s="58"/>
      <c r="P57" s="80"/>
      <c r="Q57" s="199"/>
      <c r="R57" s="64" t="s">
        <v>31</v>
      </c>
      <c r="S57" s="65">
        <f t="shared" si="7"/>
        <v>0</v>
      </c>
      <c r="T57" s="65">
        <f t="shared" si="7"/>
        <v>0</v>
      </c>
      <c r="U57" s="65">
        <f t="shared" si="7"/>
        <v>0</v>
      </c>
      <c r="V57" s="65">
        <f t="shared" si="7"/>
        <v>0</v>
      </c>
      <c r="W57" s="66">
        <f t="shared" si="8"/>
        <v>0</v>
      </c>
      <c r="X57" s="65">
        <f t="shared" si="9"/>
        <v>0</v>
      </c>
      <c r="Y57" s="65">
        <f t="shared" si="10"/>
        <v>0</v>
      </c>
      <c r="Z57" s="65">
        <f t="shared" si="11"/>
        <v>0</v>
      </c>
      <c r="AA57" s="65">
        <f t="shared" si="12"/>
        <v>0</v>
      </c>
      <c r="AB57" s="65">
        <f t="shared" si="13"/>
        <v>0</v>
      </c>
      <c r="AD57" s="67"/>
    </row>
    <row r="58" spans="2:31" ht="29">
      <c r="B58" s="56">
        <v>21</v>
      </c>
      <c r="C58" s="69" t="s">
        <v>74</v>
      </c>
      <c r="D58" s="58">
        <f t="shared" si="14"/>
        <v>0</v>
      </c>
      <c r="E58" s="59">
        <f t="shared" si="6"/>
        <v>0</v>
      </c>
      <c r="F58" s="161">
        <v>0</v>
      </c>
      <c r="G58" s="162">
        <v>0</v>
      </c>
      <c r="H58" s="76"/>
      <c r="I58" s="79"/>
      <c r="J58" s="79"/>
      <c r="K58" s="79"/>
      <c r="L58" s="79"/>
      <c r="M58" s="79"/>
      <c r="N58" s="77"/>
      <c r="O58" s="78"/>
      <c r="P58" s="79"/>
      <c r="Q58" s="199"/>
      <c r="R58" s="64" t="s">
        <v>32</v>
      </c>
      <c r="S58" s="65">
        <f t="shared" si="7"/>
        <v>0</v>
      </c>
      <c r="T58" s="65">
        <f t="shared" si="7"/>
        <v>0</v>
      </c>
      <c r="U58" s="65">
        <f t="shared" si="7"/>
        <v>0</v>
      </c>
      <c r="V58" s="65">
        <f t="shared" si="7"/>
        <v>0</v>
      </c>
      <c r="W58" s="66">
        <f t="shared" si="8"/>
        <v>0</v>
      </c>
      <c r="X58" s="65">
        <f t="shared" si="9"/>
        <v>0</v>
      </c>
      <c r="Y58" s="65">
        <f t="shared" si="10"/>
        <v>0</v>
      </c>
      <c r="Z58" s="65">
        <f t="shared" si="11"/>
        <v>0</v>
      </c>
      <c r="AA58" s="65">
        <f t="shared" si="12"/>
        <v>0</v>
      </c>
      <c r="AB58" s="65">
        <f t="shared" si="13"/>
        <v>0</v>
      </c>
      <c r="AD58" s="67"/>
    </row>
    <row r="59" spans="2:31" ht="29">
      <c r="B59" s="56">
        <v>22</v>
      </c>
      <c r="C59" s="69" t="s">
        <v>75</v>
      </c>
      <c r="D59" s="58">
        <f t="shared" si="14"/>
        <v>0</v>
      </c>
      <c r="E59" s="59">
        <f t="shared" si="6"/>
        <v>0</v>
      </c>
      <c r="F59" s="161">
        <v>0</v>
      </c>
      <c r="G59" s="162">
        <v>0</v>
      </c>
      <c r="H59" s="76"/>
      <c r="I59" s="79"/>
      <c r="J59" s="79"/>
      <c r="K59" s="79"/>
      <c r="L59" s="79"/>
      <c r="M59" s="79"/>
      <c r="N59" s="77"/>
      <c r="O59" s="78"/>
      <c r="P59" s="79"/>
      <c r="Q59" s="199"/>
      <c r="R59" s="64" t="s">
        <v>33</v>
      </c>
      <c r="S59" s="65">
        <f t="shared" si="7"/>
        <v>0</v>
      </c>
      <c r="T59" s="65">
        <f t="shared" si="7"/>
        <v>0</v>
      </c>
      <c r="U59" s="65">
        <f t="shared" si="7"/>
        <v>0</v>
      </c>
      <c r="V59" s="65">
        <f t="shared" si="7"/>
        <v>0</v>
      </c>
      <c r="W59" s="66">
        <f t="shared" si="8"/>
        <v>0</v>
      </c>
      <c r="X59" s="65">
        <f t="shared" si="9"/>
        <v>0</v>
      </c>
      <c r="Y59" s="65">
        <f t="shared" si="10"/>
        <v>0</v>
      </c>
      <c r="Z59" s="65">
        <f t="shared" si="11"/>
        <v>0</v>
      </c>
      <c r="AA59" s="65">
        <f t="shared" si="12"/>
        <v>0</v>
      </c>
      <c r="AB59" s="65">
        <f t="shared" si="13"/>
        <v>0</v>
      </c>
      <c r="AD59" s="67"/>
    </row>
    <row r="60" spans="2:31" ht="29.5" thickBot="1">
      <c r="B60" s="56">
        <v>21</v>
      </c>
      <c r="C60" s="81" t="s">
        <v>76</v>
      </c>
      <c r="D60" s="82">
        <f t="shared" si="14"/>
        <v>0</v>
      </c>
      <c r="E60" s="83">
        <f t="shared" si="6"/>
        <v>0</v>
      </c>
      <c r="F60" s="161">
        <v>0</v>
      </c>
      <c r="G60" s="162">
        <v>0</v>
      </c>
      <c r="H60" s="84"/>
      <c r="I60" s="85"/>
      <c r="J60" s="85"/>
      <c r="K60" s="85"/>
      <c r="L60" s="85"/>
      <c r="M60" s="85"/>
      <c r="N60" s="86"/>
      <c r="O60" s="87"/>
      <c r="P60" s="85"/>
      <c r="Q60" s="200"/>
      <c r="R60" s="88" t="s">
        <v>34</v>
      </c>
      <c r="S60" s="89">
        <f>H60</f>
        <v>0</v>
      </c>
      <c r="T60" s="89">
        <f>I60</f>
        <v>0</v>
      </c>
      <c r="U60" s="89">
        <f>J60</f>
        <v>0</v>
      </c>
      <c r="V60" s="89">
        <f t="shared" si="7"/>
        <v>0</v>
      </c>
      <c r="W60" s="90">
        <f t="shared" si="8"/>
        <v>0</v>
      </c>
      <c r="X60" s="89">
        <f t="shared" si="9"/>
        <v>0</v>
      </c>
      <c r="Y60" s="89">
        <f t="shared" si="10"/>
        <v>0</v>
      </c>
      <c r="Z60" s="89">
        <f t="shared" si="11"/>
        <v>0</v>
      </c>
      <c r="AA60" s="89">
        <f t="shared" si="12"/>
        <v>0</v>
      </c>
      <c r="AB60" s="89">
        <f t="shared" si="13"/>
        <v>0</v>
      </c>
      <c r="AD60" s="67"/>
    </row>
    <row r="61" spans="2:31" ht="29">
      <c r="B61" s="218">
        <v>22</v>
      </c>
      <c r="C61" s="91" t="s">
        <v>77</v>
      </c>
      <c r="D61" s="92">
        <f>F61/B61</f>
        <v>0</v>
      </c>
      <c r="E61" s="93">
        <f>G61/B61</f>
        <v>0</v>
      </c>
      <c r="F61" s="163"/>
      <c r="G61" s="164"/>
      <c r="H61" s="94"/>
      <c r="I61" s="95"/>
      <c r="J61" s="95"/>
      <c r="K61" s="95"/>
      <c r="L61" s="95"/>
      <c r="M61" s="95"/>
      <c r="N61" s="96"/>
      <c r="O61" s="97"/>
      <c r="P61" s="98"/>
      <c r="Q61" s="201">
        <v>0</v>
      </c>
      <c r="R61" s="193" t="s">
        <v>23</v>
      </c>
      <c r="S61" s="99"/>
      <c r="T61" s="99">
        <f>I61</f>
        <v>0</v>
      </c>
      <c r="U61" s="99">
        <f t="shared" ref="U61:V76" si="15">J61</f>
        <v>0</v>
      </c>
      <c r="V61" s="99">
        <f t="shared" si="15"/>
        <v>0</v>
      </c>
      <c r="W61" s="100">
        <f t="shared" si="8"/>
        <v>0</v>
      </c>
      <c r="X61" s="99">
        <f t="shared" si="9"/>
        <v>0</v>
      </c>
      <c r="Y61" s="99">
        <f t="shared" si="10"/>
        <v>0</v>
      </c>
      <c r="Z61" s="99">
        <f t="shared" si="11"/>
        <v>0</v>
      </c>
      <c r="AA61" s="99">
        <f t="shared" si="12"/>
        <v>0</v>
      </c>
      <c r="AB61" s="101">
        <f t="shared" si="13"/>
        <v>0</v>
      </c>
    </row>
    <row r="62" spans="2:31" ht="41.25" customHeight="1">
      <c r="B62" s="218">
        <v>20</v>
      </c>
      <c r="C62" s="102" t="s">
        <v>78</v>
      </c>
      <c r="D62" s="103">
        <f t="shared" ref="D62:D84" si="16">F62/B62</f>
        <v>8.9</v>
      </c>
      <c r="E62" s="104">
        <f t="shared" ref="E62:E96" si="17">D62*9</f>
        <v>80.100000000000009</v>
      </c>
      <c r="F62" s="165">
        <v>178</v>
      </c>
      <c r="G62" s="166">
        <v>28175</v>
      </c>
      <c r="H62" s="105">
        <v>25</v>
      </c>
      <c r="I62" s="106">
        <v>27</v>
      </c>
      <c r="J62" s="106"/>
      <c r="K62" s="106"/>
      <c r="L62" s="106"/>
      <c r="M62" s="106"/>
      <c r="N62" s="107"/>
      <c r="O62" s="105"/>
      <c r="P62" s="106"/>
      <c r="Q62" s="201">
        <v>52</v>
      </c>
      <c r="R62" s="193" t="s">
        <v>24</v>
      </c>
      <c r="S62" s="99"/>
      <c r="T62" s="99">
        <f t="shared" ref="T62:T84" si="18">I62</f>
        <v>27</v>
      </c>
      <c r="U62" s="108">
        <f t="shared" si="15"/>
        <v>0</v>
      </c>
      <c r="V62" s="108">
        <f t="shared" si="15"/>
        <v>0</v>
      </c>
      <c r="W62" s="109">
        <f t="shared" si="8"/>
        <v>0</v>
      </c>
      <c r="X62" s="108">
        <f t="shared" si="9"/>
        <v>0</v>
      </c>
      <c r="Y62" s="108">
        <f t="shared" si="10"/>
        <v>0</v>
      </c>
      <c r="Z62" s="108">
        <f t="shared" si="11"/>
        <v>0</v>
      </c>
      <c r="AA62" s="108">
        <f t="shared" si="12"/>
        <v>0</v>
      </c>
      <c r="AB62" s="108">
        <f t="shared" si="13"/>
        <v>52</v>
      </c>
    </row>
    <row r="63" spans="2:31" ht="41.25" customHeight="1">
      <c r="B63" s="218">
        <v>23</v>
      </c>
      <c r="C63" s="102" t="s">
        <v>79</v>
      </c>
      <c r="D63" s="103">
        <f t="shared" si="16"/>
        <v>8</v>
      </c>
      <c r="E63" s="104">
        <f t="shared" si="17"/>
        <v>72</v>
      </c>
      <c r="F63" s="165">
        <v>184</v>
      </c>
      <c r="G63" s="166">
        <v>33130</v>
      </c>
      <c r="H63" s="110">
        <v>17</v>
      </c>
      <c r="I63" s="111">
        <v>41</v>
      </c>
      <c r="J63" s="111"/>
      <c r="K63" s="111"/>
      <c r="L63" s="111"/>
      <c r="M63" s="111"/>
      <c r="N63" s="107"/>
      <c r="O63" s="110"/>
      <c r="P63" s="111"/>
      <c r="Q63" s="201">
        <v>58</v>
      </c>
      <c r="R63" s="193" t="s">
        <v>25</v>
      </c>
      <c r="S63" s="99"/>
      <c r="T63" s="99">
        <f t="shared" si="18"/>
        <v>41</v>
      </c>
      <c r="U63" s="108">
        <f t="shared" si="15"/>
        <v>0</v>
      </c>
      <c r="V63" s="108">
        <f t="shared" si="15"/>
        <v>0</v>
      </c>
      <c r="W63" s="109">
        <f t="shared" si="8"/>
        <v>0</v>
      </c>
      <c r="X63" s="108">
        <f t="shared" si="9"/>
        <v>0</v>
      </c>
      <c r="Y63" s="108">
        <f t="shared" si="10"/>
        <v>0</v>
      </c>
      <c r="Z63" s="108">
        <f t="shared" si="11"/>
        <v>0</v>
      </c>
      <c r="AA63" s="108">
        <f t="shared" si="12"/>
        <v>0</v>
      </c>
      <c r="AB63" s="108">
        <f t="shared" si="13"/>
        <v>58</v>
      </c>
    </row>
    <row r="64" spans="2:31" ht="41.25" customHeight="1">
      <c r="B64" s="218">
        <v>20</v>
      </c>
      <c r="C64" s="102" t="s">
        <v>80</v>
      </c>
      <c r="D64" s="103">
        <f t="shared" si="16"/>
        <v>10.35</v>
      </c>
      <c r="E64" s="104">
        <f t="shared" si="17"/>
        <v>93.149999999999991</v>
      </c>
      <c r="F64" s="165">
        <v>207</v>
      </c>
      <c r="G64" s="166">
        <v>30339</v>
      </c>
      <c r="H64" s="110">
        <v>52</v>
      </c>
      <c r="I64" s="111">
        <v>11</v>
      </c>
      <c r="J64" s="111">
        <v>1</v>
      </c>
      <c r="K64" s="111"/>
      <c r="L64" s="111"/>
      <c r="M64" s="111"/>
      <c r="N64" s="107"/>
      <c r="O64" s="110"/>
      <c r="P64" s="111"/>
      <c r="Q64" s="201">
        <v>64</v>
      </c>
      <c r="R64" s="193" t="s">
        <v>26</v>
      </c>
      <c r="S64" s="99"/>
      <c r="T64" s="99">
        <f t="shared" si="18"/>
        <v>11</v>
      </c>
      <c r="U64" s="108">
        <f t="shared" si="15"/>
        <v>1</v>
      </c>
      <c r="V64" s="108">
        <f t="shared" si="15"/>
        <v>0</v>
      </c>
      <c r="W64" s="109">
        <f t="shared" si="8"/>
        <v>0</v>
      </c>
      <c r="X64" s="108">
        <f t="shared" si="9"/>
        <v>0</v>
      </c>
      <c r="Y64" s="108">
        <f t="shared" si="10"/>
        <v>0</v>
      </c>
      <c r="Z64" s="108">
        <f t="shared" si="11"/>
        <v>0</v>
      </c>
      <c r="AA64" s="108">
        <f t="shared" si="12"/>
        <v>0</v>
      </c>
      <c r="AB64" s="108">
        <f t="shared" si="13"/>
        <v>64</v>
      </c>
    </row>
    <row r="65" spans="2:30" ht="41.25" customHeight="1">
      <c r="B65" s="218">
        <v>22</v>
      </c>
      <c r="C65" s="102" t="s">
        <v>81</v>
      </c>
      <c r="D65" s="103">
        <f t="shared" si="16"/>
        <v>9.3636363636363633</v>
      </c>
      <c r="E65" s="104">
        <f t="shared" si="17"/>
        <v>84.272727272727266</v>
      </c>
      <c r="F65" s="165">
        <v>206</v>
      </c>
      <c r="G65" s="166">
        <v>31321</v>
      </c>
      <c r="H65" s="110">
        <v>55</v>
      </c>
      <c r="I65" s="111">
        <v>6</v>
      </c>
      <c r="J65" s="111"/>
      <c r="K65" s="111"/>
      <c r="L65" s="111"/>
      <c r="M65" s="111"/>
      <c r="N65" s="107"/>
      <c r="O65" s="110"/>
      <c r="P65" s="111"/>
      <c r="Q65" s="201">
        <v>61</v>
      </c>
      <c r="R65" s="193" t="s">
        <v>27</v>
      </c>
      <c r="S65" s="99"/>
      <c r="T65" s="99">
        <f t="shared" si="18"/>
        <v>6</v>
      </c>
      <c r="U65" s="108">
        <f t="shared" si="15"/>
        <v>0</v>
      </c>
      <c r="V65" s="108">
        <f t="shared" si="15"/>
        <v>0</v>
      </c>
      <c r="W65" s="109">
        <f t="shared" si="8"/>
        <v>0</v>
      </c>
      <c r="X65" s="108">
        <f t="shared" si="9"/>
        <v>0</v>
      </c>
      <c r="Y65" s="108">
        <f t="shared" si="10"/>
        <v>0</v>
      </c>
      <c r="Z65" s="108">
        <f t="shared" si="11"/>
        <v>0</v>
      </c>
      <c r="AA65" s="108">
        <f t="shared" si="12"/>
        <v>0</v>
      </c>
      <c r="AB65" s="108">
        <f t="shared" si="13"/>
        <v>61</v>
      </c>
    </row>
    <row r="66" spans="2:30" ht="41.25" customHeight="1">
      <c r="B66" s="218">
        <v>21</v>
      </c>
      <c r="C66" s="102" t="s">
        <v>82</v>
      </c>
      <c r="D66" s="103">
        <f t="shared" si="16"/>
        <v>10.571428571428571</v>
      </c>
      <c r="E66" s="104">
        <f t="shared" si="17"/>
        <v>95.142857142857139</v>
      </c>
      <c r="F66" s="165">
        <v>222</v>
      </c>
      <c r="G66" s="166">
        <v>34196</v>
      </c>
      <c r="H66" s="110">
        <v>58</v>
      </c>
      <c r="I66" s="111">
        <v>5</v>
      </c>
      <c r="J66" s="111"/>
      <c r="K66" s="111"/>
      <c r="L66" s="111"/>
      <c r="M66" s="111"/>
      <c r="N66" s="107"/>
      <c r="O66" s="110">
        <v>1</v>
      </c>
      <c r="P66" s="111"/>
      <c r="Q66" s="201">
        <v>64</v>
      </c>
      <c r="R66" s="193" t="s">
        <v>28</v>
      </c>
      <c r="S66" s="99"/>
      <c r="T66" s="99">
        <f t="shared" si="18"/>
        <v>5</v>
      </c>
      <c r="U66" s="108">
        <f t="shared" si="15"/>
        <v>0</v>
      </c>
      <c r="V66" s="108">
        <f t="shared" si="15"/>
        <v>0</v>
      </c>
      <c r="W66" s="109">
        <f t="shared" si="8"/>
        <v>0</v>
      </c>
      <c r="X66" s="108">
        <f t="shared" si="9"/>
        <v>0</v>
      </c>
      <c r="Y66" s="108">
        <f t="shared" si="10"/>
        <v>0</v>
      </c>
      <c r="Z66" s="108">
        <f t="shared" si="11"/>
        <v>1</v>
      </c>
      <c r="AA66" s="108">
        <f t="shared" si="12"/>
        <v>0</v>
      </c>
      <c r="AB66" s="108">
        <f t="shared" si="13"/>
        <v>64</v>
      </c>
    </row>
    <row r="67" spans="2:30" ht="41.25" customHeight="1">
      <c r="B67" s="218">
        <v>21</v>
      </c>
      <c r="C67" s="102" t="s">
        <v>83</v>
      </c>
      <c r="D67" s="103">
        <f t="shared" si="16"/>
        <v>11.19047619047619</v>
      </c>
      <c r="E67" s="104">
        <f t="shared" si="17"/>
        <v>100.71428571428571</v>
      </c>
      <c r="F67" s="165">
        <v>235</v>
      </c>
      <c r="G67" s="166">
        <v>34324</v>
      </c>
      <c r="H67" s="110">
        <v>62</v>
      </c>
      <c r="I67" s="111">
        <v>8</v>
      </c>
      <c r="J67" s="111">
        <v>1</v>
      </c>
      <c r="K67" s="111"/>
      <c r="L67" s="111"/>
      <c r="M67" s="111"/>
      <c r="N67" s="107"/>
      <c r="O67" s="110"/>
      <c r="P67" s="111"/>
      <c r="Q67" s="201">
        <v>71</v>
      </c>
      <c r="R67" s="193" t="s">
        <v>29</v>
      </c>
      <c r="S67" s="99"/>
      <c r="T67" s="99">
        <f t="shared" si="18"/>
        <v>8</v>
      </c>
      <c r="U67" s="108">
        <f t="shared" si="15"/>
        <v>1</v>
      </c>
      <c r="V67" s="108">
        <f t="shared" si="15"/>
        <v>0</v>
      </c>
      <c r="W67" s="109">
        <f t="shared" si="8"/>
        <v>0</v>
      </c>
      <c r="X67" s="108">
        <f t="shared" si="9"/>
        <v>0</v>
      </c>
      <c r="Y67" s="108">
        <f t="shared" si="10"/>
        <v>0</v>
      </c>
      <c r="Z67" s="108">
        <f t="shared" si="11"/>
        <v>0</v>
      </c>
      <c r="AA67" s="108">
        <f t="shared" si="12"/>
        <v>0</v>
      </c>
      <c r="AB67" s="108">
        <f t="shared" si="13"/>
        <v>71</v>
      </c>
    </row>
    <row r="68" spans="2:30" ht="41.25" customHeight="1">
      <c r="B68" s="218">
        <v>21</v>
      </c>
      <c r="C68" s="102" t="s">
        <v>84</v>
      </c>
      <c r="D68" s="103">
        <f t="shared" si="16"/>
        <v>10.666666666666666</v>
      </c>
      <c r="E68" s="104">
        <f t="shared" si="17"/>
        <v>96</v>
      </c>
      <c r="F68" s="165">
        <v>224</v>
      </c>
      <c r="G68" s="166">
        <v>35759</v>
      </c>
      <c r="H68" s="112">
        <v>60</v>
      </c>
      <c r="I68" s="113">
        <v>3</v>
      </c>
      <c r="J68" s="113">
        <v>1</v>
      </c>
      <c r="K68" s="113"/>
      <c r="L68" s="113"/>
      <c r="M68" s="113"/>
      <c r="N68" s="114"/>
      <c r="O68" s="112"/>
      <c r="P68" s="115"/>
      <c r="Q68" s="201">
        <v>64</v>
      </c>
      <c r="R68" s="193" t="s">
        <v>30</v>
      </c>
      <c r="S68" s="99"/>
      <c r="T68" s="99">
        <f t="shared" si="18"/>
        <v>3</v>
      </c>
      <c r="U68" s="108">
        <f t="shared" si="15"/>
        <v>1</v>
      </c>
      <c r="V68" s="108">
        <f t="shared" si="15"/>
        <v>0</v>
      </c>
      <c r="W68" s="109">
        <f t="shared" si="8"/>
        <v>0</v>
      </c>
      <c r="X68" s="108">
        <f t="shared" si="9"/>
        <v>0</v>
      </c>
      <c r="Y68" s="108">
        <f t="shared" si="10"/>
        <v>0</v>
      </c>
      <c r="Z68" s="108">
        <f t="shared" si="11"/>
        <v>0</v>
      </c>
      <c r="AA68" s="108">
        <f t="shared" si="12"/>
        <v>0</v>
      </c>
      <c r="AB68" s="108">
        <f t="shared" si="13"/>
        <v>64</v>
      </c>
    </row>
    <row r="69" spans="2:30" ht="41.25" customHeight="1">
      <c r="B69" s="218">
        <v>21</v>
      </c>
      <c r="C69" s="102" t="s">
        <v>85</v>
      </c>
      <c r="D69" s="103">
        <f t="shared" si="16"/>
        <v>12</v>
      </c>
      <c r="E69" s="104">
        <f t="shared" si="17"/>
        <v>108</v>
      </c>
      <c r="F69" s="165">
        <v>252</v>
      </c>
      <c r="G69" s="166">
        <v>38873</v>
      </c>
      <c r="H69" s="112">
        <v>40</v>
      </c>
      <c r="I69" s="115">
        <v>12</v>
      </c>
      <c r="J69" s="116">
        <v>2</v>
      </c>
      <c r="K69" s="116"/>
      <c r="L69" s="116"/>
      <c r="M69" s="116"/>
      <c r="N69" s="114"/>
      <c r="O69" s="117">
        <v>2</v>
      </c>
      <c r="P69" s="116"/>
      <c r="Q69" s="201">
        <v>56</v>
      </c>
      <c r="R69" s="193" t="s">
        <v>31</v>
      </c>
      <c r="S69" s="99"/>
      <c r="T69" s="99">
        <f t="shared" si="18"/>
        <v>12</v>
      </c>
      <c r="U69" s="108">
        <f t="shared" si="15"/>
        <v>2</v>
      </c>
      <c r="V69" s="108">
        <f t="shared" si="15"/>
        <v>0</v>
      </c>
      <c r="W69" s="109">
        <f t="shared" si="8"/>
        <v>0</v>
      </c>
      <c r="X69" s="108">
        <f t="shared" si="9"/>
        <v>0</v>
      </c>
      <c r="Y69" s="108">
        <f t="shared" si="10"/>
        <v>0</v>
      </c>
      <c r="Z69" s="108">
        <f t="shared" si="11"/>
        <v>2</v>
      </c>
      <c r="AA69" s="108">
        <f t="shared" si="12"/>
        <v>0</v>
      </c>
      <c r="AB69" s="108">
        <f t="shared" si="13"/>
        <v>56</v>
      </c>
    </row>
    <row r="70" spans="2:30" ht="41.25" customHeight="1">
      <c r="B70" s="218">
        <v>22</v>
      </c>
      <c r="C70" s="102" t="s">
        <v>86</v>
      </c>
      <c r="D70" s="103">
        <f t="shared" si="16"/>
        <v>13.181818181818182</v>
      </c>
      <c r="E70" s="104">
        <f t="shared" si="17"/>
        <v>118.63636363636364</v>
      </c>
      <c r="F70" s="165">
        <v>290</v>
      </c>
      <c r="G70" s="166">
        <v>42007</v>
      </c>
      <c r="H70" s="112">
        <v>61</v>
      </c>
      <c r="I70" s="115">
        <v>3</v>
      </c>
      <c r="J70" s="115"/>
      <c r="K70" s="115"/>
      <c r="L70" s="115"/>
      <c r="M70" s="115"/>
      <c r="N70" s="114"/>
      <c r="O70" s="112"/>
      <c r="P70" s="115"/>
      <c r="Q70" s="201">
        <v>64</v>
      </c>
      <c r="R70" s="193" t="s">
        <v>32</v>
      </c>
      <c r="S70" s="99"/>
      <c r="T70" s="99">
        <f t="shared" si="18"/>
        <v>3</v>
      </c>
      <c r="U70" s="108">
        <f t="shared" si="15"/>
        <v>0</v>
      </c>
      <c r="V70" s="108">
        <f t="shared" si="15"/>
        <v>0</v>
      </c>
      <c r="W70" s="109">
        <f t="shared" si="8"/>
        <v>0</v>
      </c>
      <c r="X70" s="108">
        <f t="shared" si="9"/>
        <v>0</v>
      </c>
      <c r="Y70" s="108">
        <f t="shared" si="10"/>
        <v>0</v>
      </c>
      <c r="Z70" s="108">
        <f t="shared" si="11"/>
        <v>0</v>
      </c>
      <c r="AA70" s="108">
        <f t="shared" si="12"/>
        <v>0</v>
      </c>
      <c r="AB70" s="108">
        <f t="shared" si="13"/>
        <v>64</v>
      </c>
    </row>
    <row r="71" spans="2:30" ht="41.25" customHeight="1">
      <c r="B71" s="218">
        <v>22</v>
      </c>
      <c r="C71" s="102" t="s">
        <v>87</v>
      </c>
      <c r="D71" s="103">
        <f t="shared" si="16"/>
        <v>13.681818181818182</v>
      </c>
      <c r="E71" s="104">
        <f t="shared" si="17"/>
        <v>123.13636363636364</v>
      </c>
      <c r="F71" s="165">
        <v>301</v>
      </c>
      <c r="G71" s="166">
        <v>47497</v>
      </c>
      <c r="H71" s="112">
        <v>93</v>
      </c>
      <c r="I71" s="115">
        <v>105</v>
      </c>
      <c r="J71" s="115"/>
      <c r="K71" s="115">
        <v>1</v>
      </c>
      <c r="L71" s="115"/>
      <c r="M71" s="115"/>
      <c r="N71" s="114"/>
      <c r="O71" s="112"/>
      <c r="P71" s="115"/>
      <c r="Q71" s="201">
        <v>199</v>
      </c>
      <c r="R71" s="193" t="s">
        <v>33</v>
      </c>
      <c r="S71" s="99"/>
      <c r="T71" s="99">
        <f t="shared" si="18"/>
        <v>105</v>
      </c>
      <c r="U71" s="108">
        <f t="shared" si="15"/>
        <v>0</v>
      </c>
      <c r="V71" s="108">
        <f t="shared" si="15"/>
        <v>1</v>
      </c>
      <c r="W71" s="109">
        <f t="shared" si="8"/>
        <v>0</v>
      </c>
      <c r="X71" s="108">
        <f t="shared" si="9"/>
        <v>0</v>
      </c>
      <c r="Y71" s="108">
        <f t="shared" si="10"/>
        <v>0</v>
      </c>
      <c r="Z71" s="108">
        <f t="shared" si="11"/>
        <v>0</v>
      </c>
      <c r="AA71" s="108">
        <f t="shared" si="12"/>
        <v>0</v>
      </c>
      <c r="AB71" s="108">
        <f t="shared" si="13"/>
        <v>199</v>
      </c>
    </row>
    <row r="72" spans="2:30" ht="41.25" customHeight="1" thickBot="1">
      <c r="B72" s="219">
        <v>19</v>
      </c>
      <c r="C72" s="118" t="s">
        <v>88</v>
      </c>
      <c r="D72" s="119">
        <f t="shared" si="16"/>
        <v>17.157894736842106</v>
      </c>
      <c r="E72" s="221">
        <f t="shared" si="17"/>
        <v>154.42105263157896</v>
      </c>
      <c r="F72" s="220">
        <v>326</v>
      </c>
      <c r="G72" s="167">
        <v>39890</v>
      </c>
      <c r="H72" s="120">
        <v>27</v>
      </c>
      <c r="I72" s="121"/>
      <c r="J72" s="121">
        <v>1</v>
      </c>
      <c r="K72" s="121"/>
      <c r="L72" s="121"/>
      <c r="M72" s="121"/>
      <c r="N72" s="122"/>
      <c r="O72" s="120"/>
      <c r="P72" s="121"/>
      <c r="Q72" s="201">
        <v>28</v>
      </c>
      <c r="R72" s="194" t="s">
        <v>34</v>
      </c>
      <c r="S72" s="99"/>
      <c r="T72" s="99">
        <f t="shared" si="18"/>
        <v>0</v>
      </c>
      <c r="U72" s="123">
        <f t="shared" si="15"/>
        <v>1</v>
      </c>
      <c r="V72" s="123">
        <f t="shared" si="15"/>
        <v>0</v>
      </c>
      <c r="W72" s="124">
        <f t="shared" si="8"/>
        <v>0</v>
      </c>
      <c r="X72" s="125">
        <f t="shared" si="9"/>
        <v>0</v>
      </c>
      <c r="Y72" s="125">
        <f t="shared" si="10"/>
        <v>0</v>
      </c>
      <c r="Z72" s="125">
        <f t="shared" si="11"/>
        <v>0</v>
      </c>
      <c r="AA72" s="125">
        <f t="shared" si="12"/>
        <v>0</v>
      </c>
      <c r="AB72" s="125">
        <f t="shared" si="13"/>
        <v>28</v>
      </c>
    </row>
    <row r="73" spans="2:30" ht="42.75" customHeight="1">
      <c r="B73" s="127">
        <v>22</v>
      </c>
      <c r="C73" s="128" t="s">
        <v>89</v>
      </c>
      <c r="D73" s="129">
        <f t="shared" si="16"/>
        <v>181</v>
      </c>
      <c r="E73" s="130">
        <f t="shared" si="17"/>
        <v>1629</v>
      </c>
      <c r="F73" s="168">
        <v>3982</v>
      </c>
      <c r="G73" s="169">
        <v>35837</v>
      </c>
      <c r="H73" s="174" t="s">
        <v>121</v>
      </c>
      <c r="I73" s="174">
        <v>4</v>
      </c>
      <c r="J73" s="174">
        <v>1</v>
      </c>
      <c r="K73" s="132"/>
      <c r="L73" s="174">
        <v>1</v>
      </c>
      <c r="M73" s="133"/>
      <c r="N73" s="184"/>
      <c r="O73" s="181"/>
      <c r="P73" s="134"/>
      <c r="Q73" s="202">
        <v>109</v>
      </c>
      <c r="R73" s="195" t="s">
        <v>23</v>
      </c>
      <c r="S73" s="135" t="str">
        <f t="shared" ref="S73:S84" si="19">H73</f>
        <v xml:space="preserve"> </v>
      </c>
      <c r="T73" s="135">
        <f t="shared" si="18"/>
        <v>4</v>
      </c>
      <c r="U73" s="135">
        <f t="shared" si="15"/>
        <v>1</v>
      </c>
      <c r="V73" s="135">
        <f t="shared" si="15"/>
        <v>0</v>
      </c>
      <c r="W73" s="135">
        <f t="shared" si="8"/>
        <v>1</v>
      </c>
      <c r="X73" s="135">
        <f t="shared" si="9"/>
        <v>0</v>
      </c>
      <c r="Y73" s="135">
        <f t="shared" si="10"/>
        <v>0</v>
      </c>
      <c r="Z73" s="135">
        <f t="shared" si="11"/>
        <v>0</v>
      </c>
      <c r="AA73" s="135">
        <f t="shared" si="12"/>
        <v>0</v>
      </c>
      <c r="AB73" s="135">
        <f t="shared" si="13"/>
        <v>109</v>
      </c>
      <c r="AD73" s="136"/>
    </row>
    <row r="74" spans="2:30" ht="42.75" customHeight="1">
      <c r="B74" s="137">
        <v>21</v>
      </c>
      <c r="C74" s="138" t="s">
        <v>90</v>
      </c>
      <c r="D74" s="129">
        <f t="shared" si="16"/>
        <v>379.33333333333331</v>
      </c>
      <c r="E74" s="130">
        <f t="shared" si="17"/>
        <v>3414</v>
      </c>
      <c r="F74" s="168">
        <v>7966</v>
      </c>
      <c r="G74" s="169">
        <v>75426</v>
      </c>
      <c r="H74" s="175">
        <v>55</v>
      </c>
      <c r="I74" s="177">
        <v>3</v>
      </c>
      <c r="J74" s="139"/>
      <c r="K74" s="139"/>
      <c r="L74" s="140"/>
      <c r="M74" s="180"/>
      <c r="N74" s="185"/>
      <c r="O74" s="182"/>
      <c r="P74" s="139"/>
      <c r="Q74" s="203">
        <v>73</v>
      </c>
      <c r="R74" s="196" t="s">
        <v>24</v>
      </c>
      <c r="S74" s="141">
        <f t="shared" si="19"/>
        <v>55</v>
      </c>
      <c r="T74" s="141">
        <f t="shared" si="18"/>
        <v>3</v>
      </c>
      <c r="U74" s="141">
        <f t="shared" si="15"/>
        <v>0</v>
      </c>
      <c r="V74" s="141">
        <f t="shared" si="15"/>
        <v>0</v>
      </c>
      <c r="W74" s="141">
        <f t="shared" si="8"/>
        <v>0</v>
      </c>
      <c r="X74" s="141">
        <f t="shared" si="9"/>
        <v>0</v>
      </c>
      <c r="Y74" s="141">
        <f t="shared" si="10"/>
        <v>0</v>
      </c>
      <c r="Z74" s="141">
        <f t="shared" si="11"/>
        <v>0</v>
      </c>
      <c r="AA74" s="141">
        <f t="shared" si="12"/>
        <v>0</v>
      </c>
      <c r="AB74" s="141">
        <f t="shared" si="13"/>
        <v>73</v>
      </c>
      <c r="AD74" s="126"/>
    </row>
    <row r="75" spans="2:30" ht="43.5" customHeight="1">
      <c r="B75" s="137">
        <v>20</v>
      </c>
      <c r="C75" s="138" t="s">
        <v>91</v>
      </c>
      <c r="D75" s="129">
        <f t="shared" si="16"/>
        <v>386.95</v>
      </c>
      <c r="E75" s="130">
        <f t="shared" si="17"/>
        <v>3482.5499999999997</v>
      </c>
      <c r="F75" s="168">
        <v>7739</v>
      </c>
      <c r="G75" s="169">
        <v>69951</v>
      </c>
      <c r="H75" s="175">
        <v>41</v>
      </c>
      <c r="I75" s="177">
        <v>1</v>
      </c>
      <c r="J75" s="139"/>
      <c r="K75" s="139"/>
      <c r="L75" s="140"/>
      <c r="M75" s="140"/>
      <c r="N75" s="185"/>
      <c r="O75" s="182"/>
      <c r="P75" s="139"/>
      <c r="Q75" s="203">
        <v>51</v>
      </c>
      <c r="R75" s="196" t="s">
        <v>25</v>
      </c>
      <c r="S75" s="141">
        <f t="shared" si="19"/>
        <v>41</v>
      </c>
      <c r="T75" s="141">
        <f t="shared" si="18"/>
        <v>1</v>
      </c>
      <c r="U75" s="141">
        <f t="shared" si="15"/>
        <v>0</v>
      </c>
      <c r="V75" s="141">
        <f t="shared" si="15"/>
        <v>0</v>
      </c>
      <c r="W75" s="141">
        <f t="shared" si="8"/>
        <v>0</v>
      </c>
      <c r="X75" s="141">
        <f t="shared" si="9"/>
        <v>0</v>
      </c>
      <c r="Y75" s="141">
        <f t="shared" si="10"/>
        <v>0</v>
      </c>
      <c r="Z75" s="141">
        <f t="shared" si="11"/>
        <v>0</v>
      </c>
      <c r="AA75" s="141">
        <f t="shared" si="12"/>
        <v>0</v>
      </c>
      <c r="AB75" s="141">
        <f t="shared" si="13"/>
        <v>51</v>
      </c>
    </row>
    <row r="76" spans="2:30" ht="43.5" customHeight="1">
      <c r="B76" s="137">
        <v>21</v>
      </c>
      <c r="C76" s="138" t="s">
        <v>92</v>
      </c>
      <c r="D76" s="129">
        <f t="shared" si="16"/>
        <v>389.71428571428572</v>
      </c>
      <c r="E76" s="130">
        <f t="shared" si="17"/>
        <v>3507.4285714285716</v>
      </c>
      <c r="F76" s="168">
        <v>8184</v>
      </c>
      <c r="G76" s="169">
        <v>73656</v>
      </c>
      <c r="H76" s="175">
        <v>28</v>
      </c>
      <c r="I76" s="176"/>
      <c r="J76" s="139"/>
      <c r="K76" s="139"/>
      <c r="L76" s="140"/>
      <c r="M76" s="140"/>
      <c r="N76" s="185"/>
      <c r="O76" s="182"/>
      <c r="P76" s="139"/>
      <c r="Q76" s="203">
        <v>33</v>
      </c>
      <c r="R76" s="196" t="s">
        <v>26</v>
      </c>
      <c r="S76" s="141">
        <f t="shared" si="19"/>
        <v>28</v>
      </c>
      <c r="T76" s="141">
        <f t="shared" si="18"/>
        <v>0</v>
      </c>
      <c r="U76" s="141">
        <f t="shared" si="15"/>
        <v>0</v>
      </c>
      <c r="V76" s="141">
        <f t="shared" si="15"/>
        <v>0</v>
      </c>
      <c r="W76" s="141">
        <f t="shared" si="8"/>
        <v>0</v>
      </c>
      <c r="X76" s="141">
        <f t="shared" si="9"/>
        <v>0</v>
      </c>
      <c r="Y76" s="141">
        <f t="shared" si="10"/>
        <v>0</v>
      </c>
      <c r="Z76" s="141">
        <f t="shared" si="11"/>
        <v>0</v>
      </c>
      <c r="AA76" s="141">
        <f t="shared" si="12"/>
        <v>0</v>
      </c>
      <c r="AB76" s="141">
        <f t="shared" si="13"/>
        <v>33</v>
      </c>
    </row>
    <row r="77" spans="2:30" ht="43.5" customHeight="1">
      <c r="B77" s="137">
        <v>21</v>
      </c>
      <c r="C77" s="138" t="s">
        <v>93</v>
      </c>
      <c r="D77" s="129">
        <f t="shared" si="16"/>
        <v>368.61904761904759</v>
      </c>
      <c r="E77" s="130">
        <f t="shared" si="17"/>
        <v>3317.5714285714284</v>
      </c>
      <c r="F77" s="168">
        <v>7741</v>
      </c>
      <c r="G77" s="169">
        <v>69669</v>
      </c>
      <c r="H77" s="175">
        <v>22</v>
      </c>
      <c r="I77" s="176"/>
      <c r="J77" s="139"/>
      <c r="K77" s="139"/>
      <c r="L77" s="140"/>
      <c r="M77" s="180"/>
      <c r="N77" s="185"/>
      <c r="O77" s="187">
        <v>1</v>
      </c>
      <c r="P77" s="139"/>
      <c r="Q77" s="203">
        <v>25</v>
      </c>
      <c r="R77" s="196" t="s">
        <v>27</v>
      </c>
      <c r="S77" s="141">
        <f t="shared" si="19"/>
        <v>22</v>
      </c>
      <c r="T77" s="141">
        <f t="shared" si="18"/>
        <v>0</v>
      </c>
      <c r="U77" s="141">
        <f t="shared" ref="U77:V88" si="20">J77</f>
        <v>0</v>
      </c>
      <c r="V77" s="141">
        <f t="shared" si="20"/>
        <v>0</v>
      </c>
      <c r="W77" s="141">
        <f t="shared" si="8"/>
        <v>0</v>
      </c>
      <c r="X77" s="141">
        <f t="shared" si="9"/>
        <v>0</v>
      </c>
      <c r="Y77" s="141">
        <f t="shared" si="10"/>
        <v>0</v>
      </c>
      <c r="Z77" s="141">
        <f t="shared" si="11"/>
        <v>1</v>
      </c>
      <c r="AA77" s="141">
        <f t="shared" si="12"/>
        <v>0</v>
      </c>
      <c r="AB77" s="141">
        <f t="shared" si="13"/>
        <v>25</v>
      </c>
    </row>
    <row r="78" spans="2:30" ht="43.5" customHeight="1">
      <c r="B78" s="137">
        <v>20</v>
      </c>
      <c r="C78" s="138" t="s">
        <v>94</v>
      </c>
      <c r="D78" s="129">
        <f t="shared" si="16"/>
        <v>343.25</v>
      </c>
      <c r="E78" s="130">
        <f t="shared" si="17"/>
        <v>3089.25</v>
      </c>
      <c r="F78" s="168">
        <v>6865</v>
      </c>
      <c r="G78" s="169">
        <v>61785</v>
      </c>
      <c r="H78" s="175">
        <v>43</v>
      </c>
      <c r="I78" s="177">
        <v>7</v>
      </c>
      <c r="J78" s="139"/>
      <c r="K78" s="139"/>
      <c r="L78" s="180">
        <v>1</v>
      </c>
      <c r="M78" s="140"/>
      <c r="N78" s="185"/>
      <c r="O78" s="182"/>
      <c r="P78" s="178">
        <v>1</v>
      </c>
      <c r="Q78" s="203">
        <v>57</v>
      </c>
      <c r="R78" s="196" t="s">
        <v>28</v>
      </c>
      <c r="S78" s="141">
        <f t="shared" si="19"/>
        <v>43</v>
      </c>
      <c r="T78" s="141">
        <f t="shared" si="18"/>
        <v>7</v>
      </c>
      <c r="U78" s="141">
        <f t="shared" si="20"/>
        <v>0</v>
      </c>
      <c r="V78" s="141">
        <f t="shared" si="20"/>
        <v>0</v>
      </c>
      <c r="W78" s="141">
        <f t="shared" si="8"/>
        <v>1</v>
      </c>
      <c r="X78" s="141">
        <f t="shared" si="9"/>
        <v>0</v>
      </c>
      <c r="Y78" s="141">
        <f t="shared" si="10"/>
        <v>0</v>
      </c>
      <c r="Z78" s="141">
        <f t="shared" si="11"/>
        <v>0</v>
      </c>
      <c r="AA78" s="141">
        <f t="shared" si="12"/>
        <v>1</v>
      </c>
      <c r="AB78" s="141">
        <f t="shared" si="13"/>
        <v>57</v>
      </c>
    </row>
    <row r="79" spans="2:30" ht="43.5" customHeight="1">
      <c r="B79" s="137">
        <v>23</v>
      </c>
      <c r="C79" s="138" t="s">
        <v>95</v>
      </c>
      <c r="D79" s="129">
        <f t="shared" si="16"/>
        <v>341.82608695652175</v>
      </c>
      <c r="E79" s="130">
        <f t="shared" si="17"/>
        <v>3076.434782608696</v>
      </c>
      <c r="F79" s="168">
        <v>7862</v>
      </c>
      <c r="G79" s="169">
        <v>70758</v>
      </c>
      <c r="H79" s="175">
        <v>48</v>
      </c>
      <c r="I79" s="177">
        <v>4</v>
      </c>
      <c r="J79" s="139"/>
      <c r="K79" s="178">
        <v>1</v>
      </c>
      <c r="L79" s="179">
        <v>1</v>
      </c>
      <c r="M79" s="142"/>
      <c r="N79" s="185"/>
      <c r="O79" s="182"/>
      <c r="P79" s="139"/>
      <c r="Q79" s="203">
        <v>58</v>
      </c>
      <c r="R79" s="196" t="s">
        <v>29</v>
      </c>
      <c r="S79" s="141">
        <f t="shared" si="19"/>
        <v>48</v>
      </c>
      <c r="T79" s="141">
        <f t="shared" si="18"/>
        <v>4</v>
      </c>
      <c r="U79" s="141">
        <f t="shared" si="20"/>
        <v>0</v>
      </c>
      <c r="V79" s="141">
        <f t="shared" si="20"/>
        <v>1</v>
      </c>
      <c r="W79" s="141">
        <f t="shared" si="8"/>
        <v>1</v>
      </c>
      <c r="X79" s="141">
        <f t="shared" si="9"/>
        <v>0</v>
      </c>
      <c r="Y79" s="141">
        <f t="shared" si="10"/>
        <v>0</v>
      </c>
      <c r="Z79" s="141">
        <f t="shared" si="11"/>
        <v>0</v>
      </c>
      <c r="AA79" s="141">
        <f t="shared" si="12"/>
        <v>0</v>
      </c>
      <c r="AB79" s="141">
        <f t="shared" si="13"/>
        <v>58</v>
      </c>
    </row>
    <row r="80" spans="2:30" ht="43.5" customHeight="1">
      <c r="B80" s="137">
        <v>21</v>
      </c>
      <c r="C80" s="138" t="s">
        <v>96</v>
      </c>
      <c r="D80" s="129">
        <f t="shared" si="16"/>
        <v>346.42857142857144</v>
      </c>
      <c r="E80" s="130">
        <f t="shared" si="17"/>
        <v>3117.8571428571431</v>
      </c>
      <c r="F80" s="168">
        <v>7275</v>
      </c>
      <c r="G80" s="169">
        <v>65475</v>
      </c>
      <c r="H80" s="175">
        <v>61</v>
      </c>
      <c r="I80" s="177">
        <v>8</v>
      </c>
      <c r="J80" s="139"/>
      <c r="K80" s="139"/>
      <c r="L80" s="139"/>
      <c r="M80" s="139"/>
      <c r="N80" s="185"/>
      <c r="O80" s="182"/>
      <c r="P80" s="139"/>
      <c r="Q80" s="203">
        <v>88</v>
      </c>
      <c r="R80" s="196" t="s">
        <v>30</v>
      </c>
      <c r="S80" s="141">
        <f t="shared" si="19"/>
        <v>61</v>
      </c>
      <c r="T80" s="141">
        <f t="shared" si="18"/>
        <v>8</v>
      </c>
      <c r="U80" s="141">
        <f t="shared" si="20"/>
        <v>0</v>
      </c>
      <c r="V80" s="141">
        <f t="shared" si="20"/>
        <v>0</v>
      </c>
      <c r="W80" s="141">
        <f t="shared" si="8"/>
        <v>0</v>
      </c>
      <c r="X80" s="141">
        <f t="shared" si="9"/>
        <v>0</v>
      </c>
      <c r="Y80" s="141">
        <f t="shared" si="10"/>
        <v>0</v>
      </c>
      <c r="Z80" s="141">
        <f t="shared" si="11"/>
        <v>0</v>
      </c>
      <c r="AA80" s="141">
        <f t="shared" si="12"/>
        <v>0</v>
      </c>
      <c r="AB80" s="141">
        <f t="shared" si="13"/>
        <v>88</v>
      </c>
    </row>
    <row r="81" spans="2:28" ht="43.5" customHeight="1">
      <c r="B81" s="137">
        <v>21</v>
      </c>
      <c r="C81" s="138" t="s">
        <v>97</v>
      </c>
      <c r="D81" s="129">
        <f t="shared" si="16"/>
        <v>438.47619047619048</v>
      </c>
      <c r="E81" s="130">
        <f t="shared" si="17"/>
        <v>3946.2857142857142</v>
      </c>
      <c r="F81" s="168">
        <v>9208</v>
      </c>
      <c r="G81" s="169">
        <v>82872</v>
      </c>
      <c r="H81" s="175">
        <v>77</v>
      </c>
      <c r="I81" s="177">
        <v>7</v>
      </c>
      <c r="J81" s="178">
        <v>1</v>
      </c>
      <c r="K81" s="178">
        <v>1</v>
      </c>
      <c r="L81" s="139"/>
      <c r="M81" s="139"/>
      <c r="N81" s="185"/>
      <c r="O81" s="187">
        <v>1</v>
      </c>
      <c r="P81" s="139"/>
      <c r="Q81" s="203">
        <v>93</v>
      </c>
      <c r="R81" s="196" t="s">
        <v>31</v>
      </c>
      <c r="S81" s="141">
        <f t="shared" si="19"/>
        <v>77</v>
      </c>
      <c r="T81" s="141">
        <f t="shared" si="18"/>
        <v>7</v>
      </c>
      <c r="U81" s="141">
        <f t="shared" si="20"/>
        <v>1</v>
      </c>
      <c r="V81" s="141">
        <f t="shared" si="20"/>
        <v>1</v>
      </c>
      <c r="W81" s="141">
        <f t="shared" si="8"/>
        <v>0</v>
      </c>
      <c r="X81" s="141">
        <f t="shared" si="9"/>
        <v>0</v>
      </c>
      <c r="Y81" s="141">
        <f t="shared" si="10"/>
        <v>0</v>
      </c>
      <c r="Z81" s="141">
        <f t="shared" si="11"/>
        <v>1</v>
      </c>
      <c r="AA81" s="141">
        <f t="shared" si="12"/>
        <v>0</v>
      </c>
      <c r="AB81" s="141">
        <f t="shared" si="13"/>
        <v>93</v>
      </c>
    </row>
    <row r="82" spans="2:28" ht="43.5" customHeight="1">
      <c r="B82" s="137">
        <v>23</v>
      </c>
      <c r="C82" s="138" t="s">
        <v>98</v>
      </c>
      <c r="D82" s="129">
        <f t="shared" si="16"/>
        <v>499.08695652173913</v>
      </c>
      <c r="E82" s="130">
        <f t="shared" si="17"/>
        <v>4491.782608695652</v>
      </c>
      <c r="F82" s="168">
        <v>11479</v>
      </c>
      <c r="G82" s="169">
        <v>103311</v>
      </c>
      <c r="H82" s="175">
        <v>91</v>
      </c>
      <c r="I82" s="177">
        <v>23</v>
      </c>
      <c r="J82" s="139"/>
      <c r="K82" s="178">
        <v>2</v>
      </c>
      <c r="L82" s="139"/>
      <c r="M82" s="139"/>
      <c r="N82" s="185"/>
      <c r="O82" s="182"/>
      <c r="P82" s="139"/>
      <c r="Q82" s="203">
        <v>134</v>
      </c>
      <c r="R82" s="196" t="s">
        <v>32</v>
      </c>
      <c r="S82" s="141">
        <f t="shared" si="19"/>
        <v>91</v>
      </c>
      <c r="T82" s="141">
        <f t="shared" si="18"/>
        <v>23</v>
      </c>
      <c r="U82" s="141">
        <f t="shared" si="20"/>
        <v>0</v>
      </c>
      <c r="V82" s="141">
        <f t="shared" si="20"/>
        <v>2</v>
      </c>
      <c r="W82" s="141">
        <f t="shared" si="8"/>
        <v>0</v>
      </c>
      <c r="X82" s="141">
        <f t="shared" si="9"/>
        <v>0</v>
      </c>
      <c r="Y82" s="141">
        <f t="shared" si="10"/>
        <v>0</v>
      </c>
      <c r="Z82" s="141">
        <f t="shared" si="11"/>
        <v>0</v>
      </c>
      <c r="AA82" s="141">
        <f t="shared" si="12"/>
        <v>0</v>
      </c>
      <c r="AB82" s="141">
        <f t="shared" si="13"/>
        <v>134</v>
      </c>
    </row>
    <row r="83" spans="2:28" ht="43.5" customHeight="1">
      <c r="B83" s="137">
        <v>20</v>
      </c>
      <c r="C83" s="138" t="s">
        <v>99</v>
      </c>
      <c r="D83" s="143">
        <f t="shared" si="16"/>
        <v>620.70000000000005</v>
      </c>
      <c r="E83" s="131">
        <f t="shared" si="17"/>
        <v>5586.3</v>
      </c>
      <c r="F83" s="168">
        <v>12414</v>
      </c>
      <c r="G83" s="169">
        <v>111726</v>
      </c>
      <c r="H83" s="175">
        <v>65</v>
      </c>
      <c r="I83" s="177">
        <v>20</v>
      </c>
      <c r="J83" s="178">
        <v>1</v>
      </c>
      <c r="K83" s="178">
        <v>2</v>
      </c>
      <c r="L83" s="139"/>
      <c r="M83" s="139"/>
      <c r="N83" s="185"/>
      <c r="O83" s="182"/>
      <c r="P83" s="139"/>
      <c r="Q83" s="203">
        <v>91</v>
      </c>
      <c r="R83" s="196" t="s">
        <v>33</v>
      </c>
      <c r="S83" s="141">
        <f t="shared" si="19"/>
        <v>65</v>
      </c>
      <c r="T83" s="141">
        <f t="shared" si="18"/>
        <v>20</v>
      </c>
      <c r="U83" s="141">
        <f t="shared" si="20"/>
        <v>1</v>
      </c>
      <c r="V83" s="141">
        <f t="shared" si="20"/>
        <v>2</v>
      </c>
      <c r="W83" s="141">
        <f t="shared" si="8"/>
        <v>0</v>
      </c>
      <c r="X83" s="141">
        <f t="shared" si="9"/>
        <v>0</v>
      </c>
      <c r="Y83" s="141">
        <f t="shared" si="10"/>
        <v>0</v>
      </c>
      <c r="Z83" s="141">
        <f t="shared" si="11"/>
        <v>0</v>
      </c>
      <c r="AA83" s="141">
        <f t="shared" si="12"/>
        <v>0</v>
      </c>
      <c r="AB83" s="141">
        <f t="shared" si="13"/>
        <v>91</v>
      </c>
    </row>
    <row r="84" spans="2:28" ht="43.5" customHeight="1" thickBot="1">
      <c r="B84" s="144">
        <v>21</v>
      </c>
      <c r="C84" s="145" t="s">
        <v>100</v>
      </c>
      <c r="D84" s="146">
        <f t="shared" si="16"/>
        <v>444.76190476190476</v>
      </c>
      <c r="E84" s="147">
        <f t="shared" si="17"/>
        <v>4002.8571428571427</v>
      </c>
      <c r="F84" s="168">
        <v>9340</v>
      </c>
      <c r="G84" s="169">
        <v>84060</v>
      </c>
      <c r="H84" s="189">
        <v>69</v>
      </c>
      <c r="I84" s="190">
        <v>27</v>
      </c>
      <c r="J84" s="188">
        <v>1</v>
      </c>
      <c r="K84" s="188">
        <v>2</v>
      </c>
      <c r="L84" s="148"/>
      <c r="M84" s="148"/>
      <c r="N84" s="186"/>
      <c r="O84" s="183"/>
      <c r="P84" s="148"/>
      <c r="Q84" s="204">
        <v>99</v>
      </c>
      <c r="R84" s="197" t="s">
        <v>34</v>
      </c>
      <c r="S84" s="149">
        <f t="shared" si="19"/>
        <v>69</v>
      </c>
      <c r="T84" s="149">
        <f t="shared" si="18"/>
        <v>27</v>
      </c>
      <c r="U84" s="149">
        <f t="shared" si="20"/>
        <v>1</v>
      </c>
      <c r="V84" s="149">
        <f t="shared" si="20"/>
        <v>2</v>
      </c>
      <c r="W84" s="149">
        <f t="shared" si="8"/>
        <v>0</v>
      </c>
      <c r="X84" s="149">
        <f t="shared" si="9"/>
        <v>0</v>
      </c>
      <c r="Y84" s="149">
        <f t="shared" si="10"/>
        <v>0</v>
      </c>
      <c r="Z84" s="149">
        <f t="shared" si="11"/>
        <v>0</v>
      </c>
      <c r="AA84" s="149">
        <f t="shared" si="12"/>
        <v>0</v>
      </c>
      <c r="AB84" s="149">
        <f t="shared" si="13"/>
        <v>99</v>
      </c>
    </row>
    <row r="85" spans="2:28" ht="43.5" customHeight="1" thickBot="1">
      <c r="B85" s="235">
        <v>21</v>
      </c>
      <c r="C85" s="236" t="s">
        <v>101</v>
      </c>
      <c r="D85" s="237">
        <f t="shared" ref="D85:D96" si="21">F85/B85</f>
        <v>569.71428571428567</v>
      </c>
      <c r="E85" s="238">
        <f t="shared" si="17"/>
        <v>5127.4285714285706</v>
      </c>
      <c r="F85" s="239">
        <v>11964</v>
      </c>
      <c r="G85" s="240">
        <v>107676</v>
      </c>
      <c r="H85" s="256">
        <v>134</v>
      </c>
      <c r="I85" s="256">
        <v>27</v>
      </c>
      <c r="J85" s="241"/>
      <c r="K85" s="256">
        <v>3</v>
      </c>
      <c r="L85" s="241"/>
      <c r="M85" s="241"/>
      <c r="N85" s="241"/>
      <c r="O85" s="241"/>
      <c r="P85" s="241"/>
      <c r="Q85" s="256">
        <v>170</v>
      </c>
      <c r="R85" s="242" t="s">
        <v>23</v>
      </c>
      <c r="S85" s="243">
        <f t="shared" ref="S85:S96" si="22">H85</f>
        <v>134</v>
      </c>
      <c r="T85" s="243">
        <f t="shared" ref="T85:T96" si="23">I85</f>
        <v>27</v>
      </c>
      <c r="U85" s="243">
        <f t="shared" si="20"/>
        <v>0</v>
      </c>
      <c r="V85" s="243">
        <f t="shared" si="20"/>
        <v>3</v>
      </c>
      <c r="W85" s="243">
        <f t="shared" ref="W85:W96" si="24">L85</f>
        <v>0</v>
      </c>
      <c r="X85" s="243">
        <f t="shared" ref="X85:X96" si="25">M85</f>
        <v>0</v>
      </c>
      <c r="Y85" s="243">
        <f t="shared" ref="Y85:Y96" si="26">N85</f>
        <v>0</v>
      </c>
      <c r="Z85" s="243">
        <f t="shared" ref="Z85:Z96" si="27">O85</f>
        <v>0</v>
      </c>
      <c r="AA85" s="243">
        <f t="shared" ref="AA85:AA96" si="28">P85</f>
        <v>0</v>
      </c>
      <c r="AB85" s="243">
        <f t="shared" ref="AB85:AB96" si="29">Q85</f>
        <v>170</v>
      </c>
    </row>
    <row r="86" spans="2:28" ht="43.5" customHeight="1" thickBot="1">
      <c r="B86" s="244">
        <v>20</v>
      </c>
      <c r="C86" s="245" t="s">
        <v>102</v>
      </c>
      <c r="D86" s="237">
        <f t="shared" si="21"/>
        <v>534.70000000000005</v>
      </c>
      <c r="E86" s="238">
        <f t="shared" si="17"/>
        <v>4812.3</v>
      </c>
      <c r="F86" s="239">
        <v>10694</v>
      </c>
      <c r="G86" s="240">
        <v>96264</v>
      </c>
      <c r="H86" s="241">
        <v>115</v>
      </c>
      <c r="I86" s="241">
        <v>28</v>
      </c>
      <c r="J86" s="241"/>
      <c r="K86" s="241"/>
      <c r="L86" s="241"/>
      <c r="M86" s="241"/>
      <c r="N86" s="241"/>
      <c r="O86" s="241"/>
      <c r="P86" s="241"/>
      <c r="Q86" s="241">
        <v>150</v>
      </c>
      <c r="R86" s="246" t="s">
        <v>24</v>
      </c>
      <c r="S86" s="243">
        <f t="shared" si="22"/>
        <v>115</v>
      </c>
      <c r="T86" s="247">
        <f t="shared" si="23"/>
        <v>28</v>
      </c>
      <c r="U86" s="247">
        <f t="shared" si="20"/>
        <v>0</v>
      </c>
      <c r="V86" s="247">
        <f t="shared" si="20"/>
        <v>0</v>
      </c>
      <c r="W86" s="247">
        <f t="shared" si="24"/>
        <v>0</v>
      </c>
      <c r="X86" s="247">
        <f t="shared" si="25"/>
        <v>0</v>
      </c>
      <c r="Y86" s="247">
        <f t="shared" si="26"/>
        <v>0</v>
      </c>
      <c r="Z86" s="247">
        <f t="shared" si="27"/>
        <v>0</v>
      </c>
      <c r="AA86" s="247">
        <f t="shared" si="28"/>
        <v>0</v>
      </c>
      <c r="AB86" s="247">
        <f t="shared" si="29"/>
        <v>150</v>
      </c>
    </row>
    <row r="87" spans="2:28" ht="43.5" customHeight="1" thickBot="1">
      <c r="B87" s="244">
        <v>21</v>
      </c>
      <c r="C87" s="245" t="s">
        <v>103</v>
      </c>
      <c r="D87" s="237">
        <f t="shared" si="21"/>
        <v>510.76190476190476</v>
      </c>
      <c r="E87" s="238">
        <f t="shared" si="17"/>
        <v>4596.8571428571431</v>
      </c>
      <c r="F87" s="239">
        <v>10726</v>
      </c>
      <c r="G87" s="240">
        <v>96534</v>
      </c>
      <c r="H87" s="241">
        <v>117</v>
      </c>
      <c r="I87" s="241">
        <v>27</v>
      </c>
      <c r="J87" s="241"/>
      <c r="K87" s="241"/>
      <c r="L87" s="241"/>
      <c r="M87" s="241"/>
      <c r="N87" s="241"/>
      <c r="O87" s="241"/>
      <c r="P87" s="241"/>
      <c r="Q87" s="241">
        <v>158</v>
      </c>
      <c r="R87" s="246" t="s">
        <v>25</v>
      </c>
      <c r="S87" s="243">
        <f t="shared" si="22"/>
        <v>117</v>
      </c>
      <c r="T87" s="247">
        <f t="shared" si="23"/>
        <v>27</v>
      </c>
      <c r="U87" s="247">
        <f t="shared" si="20"/>
        <v>0</v>
      </c>
      <c r="V87" s="247">
        <f t="shared" si="20"/>
        <v>0</v>
      </c>
      <c r="W87" s="247">
        <f t="shared" si="24"/>
        <v>0</v>
      </c>
      <c r="X87" s="247">
        <f t="shared" si="25"/>
        <v>0</v>
      </c>
      <c r="Y87" s="247">
        <f t="shared" si="26"/>
        <v>0</v>
      </c>
      <c r="Z87" s="247">
        <f t="shared" si="27"/>
        <v>0</v>
      </c>
      <c r="AA87" s="247">
        <f t="shared" si="28"/>
        <v>0</v>
      </c>
      <c r="AB87" s="247">
        <f t="shared" si="29"/>
        <v>158</v>
      </c>
    </row>
    <row r="88" spans="2:28" ht="43.5" customHeight="1" thickBot="1">
      <c r="B88" s="244">
        <v>20</v>
      </c>
      <c r="C88" s="245" t="s">
        <v>104</v>
      </c>
      <c r="D88" s="237">
        <f t="shared" si="21"/>
        <v>465.25</v>
      </c>
      <c r="E88" s="238">
        <f t="shared" si="17"/>
        <v>4187.25</v>
      </c>
      <c r="F88" s="239">
        <v>9305</v>
      </c>
      <c r="G88" s="240">
        <v>83745</v>
      </c>
      <c r="H88" s="241">
        <v>124</v>
      </c>
      <c r="I88" s="241">
        <v>33</v>
      </c>
      <c r="J88" s="241"/>
      <c r="K88" s="241"/>
      <c r="L88" s="241"/>
      <c r="M88" s="241"/>
      <c r="N88" s="241"/>
      <c r="O88" s="241"/>
      <c r="P88" s="241"/>
      <c r="Q88" s="241">
        <v>170</v>
      </c>
      <c r="R88" s="246" t="s">
        <v>26</v>
      </c>
      <c r="S88" s="243">
        <f t="shared" si="22"/>
        <v>124</v>
      </c>
      <c r="T88" s="247">
        <f t="shared" si="23"/>
        <v>33</v>
      </c>
      <c r="U88" s="247">
        <f t="shared" si="20"/>
        <v>0</v>
      </c>
      <c r="V88" s="247">
        <f t="shared" si="20"/>
        <v>0</v>
      </c>
      <c r="W88" s="247">
        <f t="shared" si="24"/>
        <v>0</v>
      </c>
      <c r="X88" s="247">
        <f t="shared" si="25"/>
        <v>0</v>
      </c>
      <c r="Y88" s="247">
        <f t="shared" si="26"/>
        <v>0</v>
      </c>
      <c r="Z88" s="247">
        <f t="shared" si="27"/>
        <v>0</v>
      </c>
      <c r="AA88" s="247">
        <f t="shared" si="28"/>
        <v>0</v>
      </c>
      <c r="AB88" s="247">
        <f t="shared" si="29"/>
        <v>170</v>
      </c>
    </row>
    <row r="89" spans="2:28" ht="43.5" customHeight="1" thickBot="1">
      <c r="B89" s="244">
        <v>21</v>
      </c>
      <c r="C89" s="245" t="s">
        <v>105</v>
      </c>
      <c r="D89" s="237">
        <f t="shared" si="21"/>
        <v>466.28571428571428</v>
      </c>
      <c r="E89" s="238">
        <f t="shared" si="17"/>
        <v>4196.5714285714284</v>
      </c>
      <c r="F89" s="239">
        <v>9792</v>
      </c>
      <c r="G89" s="240">
        <v>88128</v>
      </c>
      <c r="H89" s="241">
        <v>90</v>
      </c>
      <c r="I89" s="241">
        <v>25</v>
      </c>
      <c r="J89" s="241"/>
      <c r="K89" s="241"/>
      <c r="L89" s="241"/>
      <c r="M89" s="241"/>
      <c r="N89" s="241"/>
      <c r="O89" s="241"/>
      <c r="P89" s="241"/>
      <c r="Q89" s="241">
        <v>124</v>
      </c>
      <c r="R89" s="246" t="s">
        <v>27</v>
      </c>
      <c r="S89" s="243">
        <f t="shared" si="22"/>
        <v>90</v>
      </c>
      <c r="T89" s="247">
        <f t="shared" si="23"/>
        <v>25</v>
      </c>
      <c r="U89" s="247">
        <f t="shared" ref="U89:U96" si="30">J89</f>
        <v>0</v>
      </c>
      <c r="V89" s="247">
        <f t="shared" ref="V89:V96" si="31">K89</f>
        <v>0</v>
      </c>
      <c r="W89" s="247">
        <f t="shared" si="24"/>
        <v>0</v>
      </c>
      <c r="X89" s="247">
        <f t="shared" si="25"/>
        <v>0</v>
      </c>
      <c r="Y89" s="247">
        <f t="shared" si="26"/>
        <v>0</v>
      </c>
      <c r="Z89" s="247">
        <f t="shared" si="27"/>
        <v>0</v>
      </c>
      <c r="AA89" s="247">
        <f t="shared" si="28"/>
        <v>0</v>
      </c>
      <c r="AB89" s="247">
        <f t="shared" si="29"/>
        <v>124</v>
      </c>
    </row>
    <row r="90" spans="2:28" ht="43.5" customHeight="1" thickBot="1">
      <c r="B90" s="244">
        <v>19</v>
      </c>
      <c r="C90" s="245" t="s">
        <v>106</v>
      </c>
      <c r="D90" s="237">
        <f t="shared" si="21"/>
        <v>443.26315789473682</v>
      </c>
      <c r="E90" s="238">
        <f t="shared" si="17"/>
        <v>3989.3684210526312</v>
      </c>
      <c r="F90" s="239">
        <v>8422</v>
      </c>
      <c r="G90" s="240">
        <v>75798</v>
      </c>
      <c r="H90" s="241">
        <v>130</v>
      </c>
      <c r="I90" s="241">
        <v>24</v>
      </c>
      <c r="J90" s="241"/>
      <c r="K90" s="241">
        <v>2</v>
      </c>
      <c r="L90" s="241">
        <v>1</v>
      </c>
      <c r="M90" s="241"/>
      <c r="N90" s="241"/>
      <c r="O90" s="241"/>
      <c r="P90" s="241"/>
      <c r="Q90" s="241">
        <v>164</v>
      </c>
      <c r="R90" s="246" t="s">
        <v>28</v>
      </c>
      <c r="S90" s="243">
        <f t="shared" si="22"/>
        <v>130</v>
      </c>
      <c r="T90" s="247">
        <f t="shared" si="23"/>
        <v>24</v>
      </c>
      <c r="U90" s="247">
        <f t="shared" si="30"/>
        <v>0</v>
      </c>
      <c r="V90" s="247">
        <f t="shared" si="31"/>
        <v>2</v>
      </c>
      <c r="W90" s="247">
        <f t="shared" si="24"/>
        <v>1</v>
      </c>
      <c r="X90" s="247">
        <f t="shared" si="25"/>
        <v>0</v>
      </c>
      <c r="Y90" s="247">
        <f t="shared" si="26"/>
        <v>0</v>
      </c>
      <c r="Z90" s="247">
        <f t="shared" si="27"/>
        <v>0</v>
      </c>
      <c r="AA90" s="247">
        <f t="shared" si="28"/>
        <v>0</v>
      </c>
      <c r="AB90" s="247">
        <f t="shared" si="29"/>
        <v>164</v>
      </c>
    </row>
    <row r="91" spans="2:28" ht="43.5" customHeight="1" thickBot="1">
      <c r="B91" s="244">
        <v>23</v>
      </c>
      <c r="C91" s="245" t="s">
        <v>107</v>
      </c>
      <c r="D91" s="237">
        <f t="shared" si="21"/>
        <v>434.08695652173913</v>
      </c>
      <c r="E91" s="238">
        <f t="shared" si="17"/>
        <v>3906.782608695652</v>
      </c>
      <c r="F91" s="239">
        <v>9984</v>
      </c>
      <c r="G91" s="240">
        <v>89856</v>
      </c>
      <c r="H91" s="241">
        <v>102</v>
      </c>
      <c r="I91" s="241">
        <v>50</v>
      </c>
      <c r="J91" s="241"/>
      <c r="K91" s="241">
        <v>2</v>
      </c>
      <c r="L91" s="241"/>
      <c r="M91" s="241"/>
      <c r="N91" s="241"/>
      <c r="O91" s="241"/>
      <c r="P91" s="241">
        <v>2</v>
      </c>
      <c r="Q91" s="241">
        <v>165</v>
      </c>
      <c r="R91" s="246" t="s">
        <v>29</v>
      </c>
      <c r="S91" s="243">
        <f t="shared" si="22"/>
        <v>102</v>
      </c>
      <c r="T91" s="247">
        <f t="shared" si="23"/>
        <v>50</v>
      </c>
      <c r="U91" s="247">
        <f t="shared" si="30"/>
        <v>0</v>
      </c>
      <c r="V91" s="247">
        <f t="shared" si="31"/>
        <v>2</v>
      </c>
      <c r="W91" s="247">
        <f t="shared" si="24"/>
        <v>0</v>
      </c>
      <c r="X91" s="247">
        <f t="shared" si="25"/>
        <v>0</v>
      </c>
      <c r="Y91" s="247">
        <f t="shared" si="26"/>
        <v>0</v>
      </c>
      <c r="Z91" s="247">
        <f t="shared" si="27"/>
        <v>0</v>
      </c>
      <c r="AA91" s="247">
        <f t="shared" si="28"/>
        <v>2</v>
      </c>
      <c r="AB91" s="247">
        <f t="shared" si="29"/>
        <v>165</v>
      </c>
    </row>
    <row r="92" spans="2:28" ht="43.5" customHeight="1" thickBot="1">
      <c r="B92" s="244">
        <v>19</v>
      </c>
      <c r="C92" s="245" t="s">
        <v>108</v>
      </c>
      <c r="D92" s="237">
        <f t="shared" si="21"/>
        <v>401.63157894736844</v>
      </c>
      <c r="E92" s="238">
        <f t="shared" si="17"/>
        <v>3614.6842105263158</v>
      </c>
      <c r="F92" s="239">
        <v>7631</v>
      </c>
      <c r="G92" s="240">
        <v>68679</v>
      </c>
      <c r="H92" s="241">
        <v>70</v>
      </c>
      <c r="I92" s="241">
        <v>64</v>
      </c>
      <c r="J92" s="241"/>
      <c r="K92" s="241">
        <v>1</v>
      </c>
      <c r="L92" s="241"/>
      <c r="M92" s="241"/>
      <c r="N92" s="241"/>
      <c r="O92" s="241"/>
      <c r="P92" s="241"/>
      <c r="Q92" s="241">
        <v>145</v>
      </c>
      <c r="R92" s="246" t="s">
        <v>30</v>
      </c>
      <c r="S92" s="243">
        <f t="shared" si="22"/>
        <v>70</v>
      </c>
      <c r="T92" s="247">
        <f t="shared" si="23"/>
        <v>64</v>
      </c>
      <c r="U92" s="247">
        <f t="shared" si="30"/>
        <v>0</v>
      </c>
      <c r="V92" s="247">
        <f t="shared" si="31"/>
        <v>1</v>
      </c>
      <c r="W92" s="247">
        <f t="shared" si="24"/>
        <v>0</v>
      </c>
      <c r="X92" s="247">
        <f t="shared" si="25"/>
        <v>0</v>
      </c>
      <c r="Y92" s="247">
        <f t="shared" si="26"/>
        <v>0</v>
      </c>
      <c r="Z92" s="247">
        <f t="shared" si="27"/>
        <v>0</v>
      </c>
      <c r="AA92" s="247">
        <f t="shared" si="28"/>
        <v>0</v>
      </c>
      <c r="AB92" s="247">
        <f t="shared" si="29"/>
        <v>145</v>
      </c>
    </row>
    <row r="93" spans="2:28" ht="43.5" customHeight="1" thickBot="1">
      <c r="B93" s="244">
        <v>22</v>
      </c>
      <c r="C93" s="245" t="s">
        <v>109</v>
      </c>
      <c r="D93" s="237">
        <f t="shared" si="21"/>
        <v>398.59090909090907</v>
      </c>
      <c r="E93" s="238">
        <f t="shared" si="17"/>
        <v>3587.3181818181815</v>
      </c>
      <c r="F93" s="239">
        <v>8769</v>
      </c>
      <c r="G93" s="240">
        <v>78921</v>
      </c>
      <c r="H93" s="241">
        <v>115</v>
      </c>
      <c r="I93" s="241">
        <v>25</v>
      </c>
      <c r="J93" s="241"/>
      <c r="K93" s="241">
        <v>1</v>
      </c>
      <c r="L93" s="241"/>
      <c r="M93" s="241"/>
      <c r="N93" s="241"/>
      <c r="O93" s="241"/>
      <c r="P93" s="241"/>
      <c r="Q93" s="241">
        <v>148</v>
      </c>
      <c r="R93" s="246" t="s">
        <v>31</v>
      </c>
      <c r="S93" s="243">
        <f t="shared" si="22"/>
        <v>115</v>
      </c>
      <c r="T93" s="247">
        <f t="shared" si="23"/>
        <v>25</v>
      </c>
      <c r="U93" s="247">
        <f t="shared" si="30"/>
        <v>0</v>
      </c>
      <c r="V93" s="247">
        <f t="shared" si="31"/>
        <v>1</v>
      </c>
      <c r="W93" s="247">
        <f t="shared" si="24"/>
        <v>0</v>
      </c>
      <c r="X93" s="247">
        <f t="shared" si="25"/>
        <v>0</v>
      </c>
      <c r="Y93" s="247">
        <f t="shared" si="26"/>
        <v>0</v>
      </c>
      <c r="Z93" s="247">
        <f t="shared" si="27"/>
        <v>0</v>
      </c>
      <c r="AA93" s="247">
        <f t="shared" si="28"/>
        <v>0</v>
      </c>
      <c r="AB93" s="247">
        <f t="shared" si="29"/>
        <v>148</v>
      </c>
    </row>
    <row r="94" spans="2:28" ht="43.5" customHeight="1" thickBot="1">
      <c r="B94" s="244">
        <v>23</v>
      </c>
      <c r="C94" s="245" t="s">
        <v>110</v>
      </c>
      <c r="D94" s="237">
        <f t="shared" si="21"/>
        <v>340.30434782608694</v>
      </c>
      <c r="E94" s="238">
        <f t="shared" si="17"/>
        <v>3062.7391304347825</v>
      </c>
      <c r="F94" s="239">
        <v>7827</v>
      </c>
      <c r="G94" s="240">
        <v>70443</v>
      </c>
      <c r="H94" s="241">
        <v>56</v>
      </c>
      <c r="I94" s="241">
        <v>25</v>
      </c>
      <c r="J94" s="241">
        <v>2</v>
      </c>
      <c r="K94" s="241">
        <v>1</v>
      </c>
      <c r="L94" s="241"/>
      <c r="M94" s="241"/>
      <c r="N94" s="241"/>
      <c r="O94" s="241"/>
      <c r="P94" s="241"/>
      <c r="Q94" s="241">
        <v>97</v>
      </c>
      <c r="R94" s="246" t="s">
        <v>32</v>
      </c>
      <c r="S94" s="243">
        <f t="shared" si="22"/>
        <v>56</v>
      </c>
      <c r="T94" s="247">
        <f t="shared" si="23"/>
        <v>25</v>
      </c>
      <c r="U94" s="247">
        <f t="shared" si="30"/>
        <v>2</v>
      </c>
      <c r="V94" s="247">
        <f t="shared" si="31"/>
        <v>1</v>
      </c>
      <c r="W94" s="247">
        <f t="shared" si="24"/>
        <v>0</v>
      </c>
      <c r="X94" s="247">
        <f t="shared" si="25"/>
        <v>0</v>
      </c>
      <c r="Y94" s="247">
        <f t="shared" si="26"/>
        <v>0</v>
      </c>
      <c r="Z94" s="247">
        <f t="shared" si="27"/>
        <v>0</v>
      </c>
      <c r="AA94" s="247">
        <f t="shared" si="28"/>
        <v>0</v>
      </c>
      <c r="AB94" s="247">
        <f t="shared" si="29"/>
        <v>97</v>
      </c>
    </row>
    <row r="95" spans="2:28" ht="43.5" customHeight="1" thickBot="1">
      <c r="B95" s="244">
        <v>20</v>
      </c>
      <c r="C95" s="245" t="s">
        <v>111</v>
      </c>
      <c r="D95" s="248">
        <f t="shared" si="21"/>
        <v>363.5</v>
      </c>
      <c r="E95" s="249">
        <f t="shared" si="17"/>
        <v>3271.5</v>
      </c>
      <c r="F95" s="239">
        <v>7270</v>
      </c>
      <c r="G95" s="240">
        <v>65430</v>
      </c>
      <c r="H95" s="241">
        <v>73</v>
      </c>
      <c r="I95" s="241">
        <v>44</v>
      </c>
      <c r="J95" s="241"/>
      <c r="K95" s="241">
        <v>1</v>
      </c>
      <c r="L95" s="241"/>
      <c r="M95" s="241"/>
      <c r="N95" s="241"/>
      <c r="O95" s="241"/>
      <c r="P95" s="241">
        <v>1</v>
      </c>
      <c r="Q95" s="241">
        <v>122</v>
      </c>
      <c r="R95" s="246" t="s">
        <v>33</v>
      </c>
      <c r="S95" s="243">
        <f t="shared" si="22"/>
        <v>73</v>
      </c>
      <c r="T95" s="247">
        <f t="shared" si="23"/>
        <v>44</v>
      </c>
      <c r="U95" s="247">
        <f t="shared" si="30"/>
        <v>0</v>
      </c>
      <c r="V95" s="247">
        <f t="shared" si="31"/>
        <v>1</v>
      </c>
      <c r="W95" s="247">
        <f t="shared" si="24"/>
        <v>0</v>
      </c>
      <c r="X95" s="247">
        <f t="shared" si="25"/>
        <v>0</v>
      </c>
      <c r="Y95" s="247">
        <f t="shared" si="26"/>
        <v>0</v>
      </c>
      <c r="Z95" s="247">
        <f t="shared" si="27"/>
        <v>0</v>
      </c>
      <c r="AA95" s="247">
        <f t="shared" si="28"/>
        <v>1</v>
      </c>
      <c r="AB95" s="247">
        <f t="shared" si="29"/>
        <v>122</v>
      </c>
    </row>
    <row r="96" spans="2:28" ht="43.5" customHeight="1" thickBot="1">
      <c r="B96" s="250">
        <v>20</v>
      </c>
      <c r="C96" s="251" t="s">
        <v>112</v>
      </c>
      <c r="D96" s="252">
        <f t="shared" si="21"/>
        <v>322</v>
      </c>
      <c r="E96" s="253">
        <f t="shared" si="17"/>
        <v>2898</v>
      </c>
      <c r="F96" s="239">
        <v>6440</v>
      </c>
      <c r="G96" s="240">
        <v>57960</v>
      </c>
      <c r="H96" s="241">
        <v>51</v>
      </c>
      <c r="I96" s="241">
        <v>9</v>
      </c>
      <c r="J96" s="241"/>
      <c r="K96" s="241">
        <v>1</v>
      </c>
      <c r="L96" s="241"/>
      <c r="M96" s="241"/>
      <c r="N96" s="241"/>
      <c r="O96" s="241"/>
      <c r="P96" s="241"/>
      <c r="Q96" s="241">
        <v>69</v>
      </c>
      <c r="R96" s="254" t="s">
        <v>34</v>
      </c>
      <c r="S96" s="243">
        <f t="shared" si="22"/>
        <v>51</v>
      </c>
      <c r="T96" s="255">
        <f t="shared" si="23"/>
        <v>9</v>
      </c>
      <c r="U96" s="255">
        <f t="shared" si="30"/>
        <v>0</v>
      </c>
      <c r="V96" s="255">
        <f t="shared" si="31"/>
        <v>1</v>
      </c>
      <c r="W96" s="255">
        <f t="shared" si="24"/>
        <v>0</v>
      </c>
      <c r="X96" s="255">
        <f t="shared" si="25"/>
        <v>0</v>
      </c>
      <c r="Y96" s="255">
        <f t="shared" si="26"/>
        <v>0</v>
      </c>
      <c r="Z96" s="255">
        <f t="shared" si="27"/>
        <v>0</v>
      </c>
      <c r="AA96" s="255">
        <f t="shared" si="28"/>
        <v>0</v>
      </c>
      <c r="AB96" s="255">
        <f t="shared" si="29"/>
        <v>69</v>
      </c>
    </row>
    <row r="97" spans="5:33" ht="43.5" hidden="1" customHeight="1">
      <c r="P97" s="51"/>
      <c r="R97" s="151" t="s">
        <v>113</v>
      </c>
      <c r="S97" s="152"/>
      <c r="T97" s="152"/>
      <c r="U97" s="152">
        <f>SUM(U49:U60)</f>
        <v>0</v>
      </c>
      <c r="V97" s="152">
        <f t="shared" ref="V97:AA97" si="32">SUM(V49:V60)</f>
        <v>0</v>
      </c>
      <c r="W97" s="153">
        <f t="shared" si="32"/>
        <v>0</v>
      </c>
      <c r="X97" s="154">
        <f t="shared" si="32"/>
        <v>0</v>
      </c>
      <c r="Y97" s="154">
        <f t="shared" si="32"/>
        <v>0</v>
      </c>
      <c r="Z97" s="154">
        <f t="shared" si="32"/>
        <v>0</v>
      </c>
      <c r="AA97" s="154">
        <f t="shared" si="32"/>
        <v>0</v>
      </c>
      <c r="AB97" s="155">
        <f t="shared" ref="AB97" si="33">SUM(AB49:AB60)</f>
        <v>0</v>
      </c>
      <c r="AE97" s="67"/>
      <c r="AG97" s="156"/>
    </row>
    <row r="98" spans="5:33" ht="43.5" customHeight="1">
      <c r="F98" s="319" t="s">
        <v>39</v>
      </c>
      <c r="G98" s="319" t="s">
        <v>40</v>
      </c>
      <c r="H98" s="319" t="s">
        <v>41</v>
      </c>
      <c r="I98" s="319" t="s">
        <v>42</v>
      </c>
      <c r="J98" s="327" t="s">
        <v>43</v>
      </c>
      <c r="K98" s="327" t="s">
        <v>44</v>
      </c>
      <c r="L98" s="319" t="s">
        <v>45</v>
      </c>
      <c r="M98" s="319" t="s">
        <v>46</v>
      </c>
      <c r="N98" s="319" t="s">
        <v>47</v>
      </c>
      <c r="O98" s="319" t="s">
        <v>48</v>
      </c>
      <c r="P98" s="51"/>
      <c r="Q98" s="51"/>
      <c r="R98" s="157" t="s">
        <v>114</v>
      </c>
      <c r="S98" s="108">
        <f t="shared" ref="S98:AA98" si="34">SUM(S61:S72)</f>
        <v>0</v>
      </c>
      <c r="T98" s="108">
        <f t="shared" si="34"/>
        <v>221</v>
      </c>
      <c r="U98" s="108">
        <f t="shared" si="34"/>
        <v>6</v>
      </c>
      <c r="V98" s="108">
        <f t="shared" si="34"/>
        <v>1</v>
      </c>
      <c r="W98" s="108">
        <f t="shared" si="34"/>
        <v>0</v>
      </c>
      <c r="X98" s="108">
        <f t="shared" si="34"/>
        <v>0</v>
      </c>
      <c r="Y98" s="108">
        <f t="shared" si="34"/>
        <v>0</v>
      </c>
      <c r="Z98" s="108">
        <f t="shared" si="34"/>
        <v>3</v>
      </c>
      <c r="AA98" s="108">
        <f t="shared" si="34"/>
        <v>0</v>
      </c>
      <c r="AB98" s="108">
        <f t="shared" ref="AB98" si="35">SUM(AB61:AB72)</f>
        <v>781</v>
      </c>
      <c r="AE98" s="67"/>
      <c r="AG98" s="156"/>
    </row>
    <row r="99" spans="5:33" ht="42.75" customHeight="1" thickBot="1">
      <c r="F99" s="320"/>
      <c r="G99" s="320"/>
      <c r="H99" s="320"/>
      <c r="I99" s="320"/>
      <c r="J99" s="328"/>
      <c r="K99" s="328"/>
      <c r="L99" s="320"/>
      <c r="M99" s="320"/>
      <c r="N99" s="320"/>
      <c r="O99" s="320"/>
      <c r="R99" s="158" t="s">
        <v>115</v>
      </c>
      <c r="S99" s="149">
        <f t="shared" ref="S99:AA99" si="36">SUM(S73:S84)</f>
        <v>600</v>
      </c>
      <c r="T99" s="149">
        <f t="shared" si="36"/>
        <v>104</v>
      </c>
      <c r="U99" s="149">
        <f t="shared" si="36"/>
        <v>4</v>
      </c>
      <c r="V99" s="149">
        <f t="shared" si="36"/>
        <v>8</v>
      </c>
      <c r="W99" s="149">
        <f t="shared" si="36"/>
        <v>3</v>
      </c>
      <c r="X99" s="149">
        <f t="shared" si="36"/>
        <v>0</v>
      </c>
      <c r="Y99" s="149">
        <f t="shared" si="36"/>
        <v>0</v>
      </c>
      <c r="Z99" s="149">
        <f t="shared" si="36"/>
        <v>2</v>
      </c>
      <c r="AA99" s="149">
        <f t="shared" si="36"/>
        <v>1</v>
      </c>
      <c r="AB99" s="149">
        <f t="shared" ref="AB99" si="37">SUM(AB73:AB84)</f>
        <v>911</v>
      </c>
      <c r="AG99" s="156"/>
    </row>
    <row r="100" spans="5:33" ht="42.75" customHeight="1" thickBot="1">
      <c r="F100" s="233"/>
      <c r="G100" s="233"/>
      <c r="H100" s="233"/>
      <c r="I100" s="233"/>
      <c r="J100" s="234"/>
      <c r="K100" s="234"/>
      <c r="L100" s="233"/>
      <c r="M100" s="233"/>
      <c r="N100" s="233"/>
      <c r="O100" s="233"/>
      <c r="R100" s="259" t="s">
        <v>116</v>
      </c>
      <c r="S100" s="255">
        <f>SUM(S85:S96)</f>
        <v>1177</v>
      </c>
      <c r="T100" s="255">
        <f>SUM(T85:T96)</f>
        <v>381</v>
      </c>
      <c r="U100" s="255">
        <f>SUM(U85:U96)</f>
        <v>2</v>
      </c>
      <c r="V100" s="255">
        <f>SUM(V85:V96)</f>
        <v>12</v>
      </c>
      <c r="W100" s="255">
        <f>SUM(W85:W96)</f>
        <v>1</v>
      </c>
      <c r="X100" s="255">
        <f>SUM(X85:X97)</f>
        <v>0</v>
      </c>
      <c r="Y100" s="255">
        <f>SUM(Y85:Y96)</f>
        <v>0</v>
      </c>
      <c r="Z100" s="255">
        <f>SUM(Z85:Z96)</f>
        <v>0</v>
      </c>
      <c r="AA100" s="255">
        <f>SUM(AA85:AA97)</f>
        <v>3</v>
      </c>
      <c r="AB100" s="255">
        <f>SUM(AB85:AB96)</f>
        <v>1682</v>
      </c>
      <c r="AG100" s="156"/>
    </row>
    <row r="101" spans="5:33" ht="55.5" customHeight="1" thickBot="1">
      <c r="E101" s="191" t="s">
        <v>117</v>
      </c>
      <c r="F101" s="123">
        <f>S98</f>
        <v>0</v>
      </c>
      <c r="G101" s="123">
        <f t="shared" ref="G101:N101" si="38">T98</f>
        <v>221</v>
      </c>
      <c r="H101" s="123">
        <f t="shared" si="38"/>
        <v>6</v>
      </c>
      <c r="I101" s="123">
        <f t="shared" si="38"/>
        <v>1</v>
      </c>
      <c r="J101" s="123">
        <f t="shared" si="38"/>
        <v>0</v>
      </c>
      <c r="K101" s="123">
        <f t="shared" si="38"/>
        <v>0</v>
      </c>
      <c r="L101" s="123">
        <f t="shared" si="38"/>
        <v>0</v>
      </c>
      <c r="M101" s="123">
        <f t="shared" si="38"/>
        <v>3</v>
      </c>
      <c r="N101" s="123">
        <f t="shared" si="38"/>
        <v>0</v>
      </c>
      <c r="O101" s="123">
        <f>AB98</f>
        <v>781</v>
      </c>
    </row>
    <row r="102" spans="5:33" ht="42.75" customHeight="1" thickBot="1">
      <c r="E102" s="192" t="s">
        <v>118</v>
      </c>
      <c r="F102" s="150">
        <f>S99</f>
        <v>600</v>
      </c>
      <c r="G102" s="150">
        <f t="shared" ref="G102:N102" si="39">T99</f>
        <v>104</v>
      </c>
      <c r="H102" s="150">
        <f t="shared" si="39"/>
        <v>4</v>
      </c>
      <c r="I102" s="150">
        <f t="shared" si="39"/>
        <v>8</v>
      </c>
      <c r="J102" s="150">
        <f t="shared" si="39"/>
        <v>3</v>
      </c>
      <c r="K102" s="150">
        <f t="shared" si="39"/>
        <v>0</v>
      </c>
      <c r="L102" s="150">
        <f t="shared" si="39"/>
        <v>0</v>
      </c>
      <c r="M102" s="150">
        <f t="shared" si="39"/>
        <v>2</v>
      </c>
      <c r="N102" s="150">
        <f t="shared" si="39"/>
        <v>1</v>
      </c>
      <c r="O102" s="150">
        <f>AB99</f>
        <v>911</v>
      </c>
    </row>
    <row r="103" spans="5:33" ht="42.75" customHeight="1" thickBot="1">
      <c r="E103" s="257" t="s">
        <v>119</v>
      </c>
      <c r="F103" s="258">
        <f>S100</f>
        <v>1177</v>
      </c>
      <c r="G103" s="258">
        <f t="shared" ref="G103" si="40">T100</f>
        <v>381</v>
      </c>
      <c r="H103" s="258">
        <f t="shared" ref="H103" si="41">U100</f>
        <v>2</v>
      </c>
      <c r="I103" s="258">
        <f t="shared" ref="I103" si="42">V100</f>
        <v>12</v>
      </c>
      <c r="J103" s="258">
        <f t="shared" ref="J103" si="43">W100</f>
        <v>1</v>
      </c>
      <c r="K103" s="258">
        <f t="shared" ref="K103" si="44">X100</f>
        <v>0</v>
      </c>
      <c r="L103" s="258">
        <f t="shared" ref="L103" si="45">Y100</f>
        <v>0</v>
      </c>
      <c r="M103" s="258">
        <f t="shared" ref="M103" si="46">Z100</f>
        <v>0</v>
      </c>
      <c r="N103" s="258">
        <f t="shared" ref="N103" si="47">AA100</f>
        <v>3</v>
      </c>
      <c r="O103" s="258">
        <f>AB100</f>
        <v>1682</v>
      </c>
    </row>
    <row r="104" spans="5:33" ht="42.75" customHeight="1"/>
    <row r="105" spans="5:33" ht="42.75" customHeight="1"/>
    <row r="106" spans="5:33" ht="42.75" customHeight="1"/>
    <row r="107" spans="5:33" ht="42.75" customHeight="1"/>
    <row r="108" spans="5:33" ht="42.75" customHeight="1"/>
    <row r="109" spans="5:33" ht="42.75" customHeight="1"/>
    <row r="110" spans="5:33" ht="42.75" customHeight="1"/>
    <row r="111" spans="5:33" ht="42.75" customHeight="1"/>
    <row r="112" spans="5:33" ht="42.75" customHeight="1"/>
    <row r="113" spans="2:29" ht="42.75" customHeight="1"/>
    <row r="114" spans="2:29" ht="42.75" customHeight="1"/>
    <row r="115" spans="2:29" ht="42.75" customHeight="1">
      <c r="R115" s="159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60"/>
    </row>
    <row r="116" spans="2:29" ht="42.75" customHeight="1">
      <c r="R116" s="159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60"/>
    </row>
    <row r="117" spans="2:29" ht="42.75" customHeight="1">
      <c r="R117" s="159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60"/>
    </row>
    <row r="118" spans="2:29" ht="42.75" customHeight="1">
      <c r="R118" s="159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60"/>
    </row>
    <row r="119" spans="2:29" ht="44.25" customHeight="1">
      <c r="R119" s="159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60"/>
    </row>
    <row r="120" spans="2:29" ht="44.25" customHeight="1">
      <c r="R120" s="159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60"/>
    </row>
    <row r="121" spans="2:29" ht="44.25" customHeight="1">
      <c r="R121" s="159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60"/>
    </row>
    <row r="122" spans="2:29" ht="44.25" customHeight="1">
      <c r="R122" s="159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60"/>
    </row>
    <row r="123" spans="2:29" ht="44.25" customHeight="1">
      <c r="R123" s="159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60"/>
    </row>
    <row r="124" spans="2:29" ht="44.25" customHeight="1">
      <c r="R124" s="159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60"/>
    </row>
    <row r="125" spans="2:29" ht="44.25" customHeight="1">
      <c r="R125" s="159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60"/>
    </row>
    <row r="126" spans="2:29" ht="44.25" customHeight="1">
      <c r="R126" s="159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60"/>
    </row>
    <row r="127" spans="2:29" ht="44.25" customHeight="1">
      <c r="B127" s="53"/>
    </row>
    <row r="128" spans="2:29" ht="44.25" customHeight="1">
      <c r="B128" s="53"/>
    </row>
    <row r="129" spans="2:2" ht="44.25" customHeight="1">
      <c r="B129" s="53"/>
    </row>
    <row r="130" spans="2:2" ht="44.25" customHeight="1">
      <c r="B130" s="53"/>
    </row>
    <row r="131" spans="2:2" ht="44.25" customHeight="1">
      <c r="B131" s="53"/>
    </row>
    <row r="132" spans="2:2" ht="44.25" customHeight="1">
      <c r="B132" s="53"/>
    </row>
    <row r="133" spans="2:2" ht="44.25" customHeight="1">
      <c r="B133" s="53"/>
    </row>
    <row r="134" spans="2:2" ht="44.25" customHeight="1">
      <c r="B134" s="53"/>
    </row>
    <row r="135" spans="2:2" ht="44.25" customHeight="1">
      <c r="B135" s="53"/>
    </row>
    <row r="136" spans="2:2" ht="44.25" customHeight="1">
      <c r="B136" s="53"/>
    </row>
    <row r="137" spans="2:2" ht="44.25" customHeight="1">
      <c r="B137" s="53"/>
    </row>
    <row r="138" spans="2:2" ht="44.25" customHeight="1">
      <c r="B138" s="53"/>
    </row>
    <row r="139" spans="2:2" ht="45" customHeight="1"/>
    <row r="140" spans="2:2" ht="45" customHeight="1"/>
  </sheetData>
  <sheetProtection selectLockedCells="1"/>
  <mergeCells count="67">
    <mergeCell ref="AB47:AB48"/>
    <mergeCell ref="F98:F99"/>
    <mergeCell ref="G98:G99"/>
    <mergeCell ref="C47:G47"/>
    <mergeCell ref="M98:M99"/>
    <mergeCell ref="N98:N99"/>
    <mergeCell ref="H47:Q47"/>
    <mergeCell ref="O98:O99"/>
    <mergeCell ref="H98:H99"/>
    <mergeCell ref="I98:I99"/>
    <mergeCell ref="J98:J99"/>
    <mergeCell ref="K98:K99"/>
    <mergeCell ref="L98:L99"/>
    <mergeCell ref="AA47:AA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L39:M39"/>
    <mergeCell ref="L40:M40"/>
    <mergeCell ref="L41:M41"/>
    <mergeCell ref="L42:M42"/>
    <mergeCell ref="C46:O46"/>
    <mergeCell ref="G31:G42"/>
    <mergeCell ref="L31:M31"/>
    <mergeCell ref="N31:N42"/>
    <mergeCell ref="L32:M32"/>
    <mergeCell ref="L33:M33"/>
    <mergeCell ref="L34:M34"/>
    <mergeCell ref="L35:M35"/>
    <mergeCell ref="L37:M37"/>
    <mergeCell ref="L38:M38"/>
    <mergeCell ref="C27:G28"/>
    <mergeCell ref="I27:N28"/>
    <mergeCell ref="C29:G29"/>
    <mergeCell ref="I29:N29"/>
    <mergeCell ref="L30:M30"/>
    <mergeCell ref="M6:V6"/>
    <mergeCell ref="C25:G26"/>
    <mergeCell ref="I25:N26"/>
    <mergeCell ref="A3:B3"/>
    <mergeCell ref="C3:D3"/>
    <mergeCell ref="G3:H3"/>
    <mergeCell ref="J7:K7"/>
    <mergeCell ref="C18:D18"/>
    <mergeCell ref="P25:AE25"/>
    <mergeCell ref="H2:Q2"/>
    <mergeCell ref="X3:AE3"/>
    <mergeCell ref="L36:M36"/>
    <mergeCell ref="C7:D7"/>
    <mergeCell ref="C9:D9"/>
    <mergeCell ref="C11:D11"/>
    <mergeCell ref="C12:D12"/>
    <mergeCell ref="C13:D13"/>
    <mergeCell ref="C10:D10"/>
    <mergeCell ref="C14:D14"/>
    <mergeCell ref="C15:D15"/>
    <mergeCell ref="C16:D16"/>
    <mergeCell ref="C17:D17"/>
    <mergeCell ref="C19:D19"/>
    <mergeCell ref="X4:AE20"/>
    <mergeCell ref="E6:H6"/>
  </mergeCells>
  <conditionalFormatting sqref="D49:D60">
    <cfRule type="cellIs" dxfId="15" priority="4" operator="greaterThan">
      <formula>0</formula>
    </cfRule>
  </conditionalFormatting>
  <conditionalFormatting sqref="E49:E60">
    <cfRule type="cellIs" dxfId="14" priority="3" operator="greaterThan">
      <formula>0</formula>
    </cfRule>
  </conditionalFormatting>
  <conditionalFormatting sqref="F31:F42">
    <cfRule type="cellIs" dxfId="13" priority="11" operator="greaterThan">
      <formula>4.51</formula>
    </cfRule>
    <cfRule type="cellIs" dxfId="12" priority="12" operator="between">
      <formula>4.01</formula>
      <formula>4.5</formula>
    </cfRule>
    <cfRule type="cellIs" dxfId="11" priority="17" operator="between">
      <formula>0</formula>
      <formula>4</formula>
    </cfRule>
  </conditionalFormatting>
  <conditionalFormatting sqref="G31">
    <cfRule type="cellIs" dxfId="10" priority="9" operator="greaterThan">
      <formula>4.51</formula>
    </cfRule>
    <cfRule type="cellIs" dxfId="9" priority="10" operator="between">
      <formula>4.01</formula>
      <formula>4.5</formula>
    </cfRule>
    <cfRule type="cellIs" dxfId="8" priority="13" operator="lessThanOrEqual">
      <formula>4</formula>
    </cfRule>
  </conditionalFormatting>
  <conditionalFormatting sqref="H48:Q72">
    <cfRule type="cellIs" dxfId="7" priority="2" operator="greaterThan">
      <formula>0</formula>
    </cfRule>
  </conditionalFormatting>
  <conditionalFormatting sqref="L31:L42">
    <cfRule type="cellIs" dxfId="6" priority="14" operator="greaterThan">
      <formula>6.51</formula>
    </cfRule>
    <cfRule type="cellIs" dxfId="5" priority="15" operator="between">
      <formula>6.01</formula>
      <formula>6.5</formula>
    </cfRule>
    <cfRule type="cellIs" dxfId="4" priority="16" operator="lessThanOrEqual">
      <formula>6</formula>
    </cfRule>
  </conditionalFormatting>
  <conditionalFormatting sqref="N31">
    <cfRule type="cellIs" dxfId="3" priority="6" operator="greaterThan">
      <formula>6.51</formula>
    </cfRule>
    <cfRule type="cellIs" dxfId="2" priority="7" operator="between">
      <formula>6.01</formula>
      <formula>6.5</formula>
    </cfRule>
    <cfRule type="cellIs" dxfId="1" priority="8" operator="lessThanOrEqual">
      <formula>6</formula>
    </cfRule>
  </conditionalFormatting>
  <conditionalFormatting sqref="AE49:AE50">
    <cfRule type="cellIs" dxfId="0" priority="5" operator="greaterThan">
      <formula>0</formula>
    </cfRule>
  </conditionalFormatting>
  <pageMargins left="0.23622047244094491" right="0.15748031496062992" top="0.31496062992125984" bottom="0.27559055118110237" header="0.31496062992125984" footer="0.31496062992125984"/>
  <pageSetup paperSize="9" scale="29" fitToHeight="0" orientation="landscape" r:id="rId1"/>
  <rowBreaks count="1" manualBreakCount="1">
    <brk id="44" max="16383" man="1"/>
  </rowBreaks>
  <colBreaks count="1" manualBreakCount="1">
    <brk id="31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AF4895E423B8468C9EAB01143CDC64" ma:contentTypeVersion="22" ma:contentTypeDescription="Ein neues Dokument erstellen." ma:contentTypeScope="" ma:versionID="163e891fc214e4adf720d4bfb6301c31">
  <xsd:schema xmlns:xsd="http://www.w3.org/2001/XMLSchema" xmlns:xs="http://www.w3.org/2001/XMLSchema" xmlns:p="http://schemas.microsoft.com/office/2006/metadata/properties" xmlns:ns2="64b8424f-f6e1-4220-b76a-fa8c126d6c46" xmlns:ns3="3590a3ca-cfe9-4446-9275-21ca88953524" targetNamespace="http://schemas.microsoft.com/office/2006/metadata/properties" ma:root="true" ma:fieldsID="8418a260148d6dcf3f96e74d75237d78" ns2:_="" ns3:_="">
    <xsd:import namespace="64b8424f-f6e1-4220-b76a-fa8c126d6c46"/>
    <xsd:import namespace="3590a3ca-cfe9-4446-9275-21ca88953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Da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8424f-f6e1-4220-b76a-fa8c126d6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tatus" ma:index="12" nillable="true" ma:displayName="Status" ma:format="Dropdown" ma:internalName="Status">
      <xsd:simpleType>
        <xsd:restriction base="dms:Choice">
          <xsd:enumeration value="in UNIFIER"/>
          <xsd:enumeration value="signed"/>
          <xsd:enumeration value="in Docusign workflow"/>
          <xsd:enumeration value="voided in Docusign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81203369-1dd8-40cd-b6b6-68cafa1b8f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0a3ca-cfe9-4446-9275-21ca8895352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ca722fe-e0b3-4f78-b9d9-a82c2a561a63}" ma:internalName="TaxCatchAll" ma:showField="CatchAllData" ma:web="3590a3ca-cfe9-4446-9275-21ca889535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b8424f-f6e1-4220-b76a-fa8c126d6c46">
      <Terms xmlns="http://schemas.microsoft.com/office/infopath/2007/PartnerControls"/>
    </lcf76f155ced4ddcb4097134ff3c332f>
    <TaxCatchAll xmlns="3590a3ca-cfe9-4446-9275-21ca88953524" xsi:nil="true"/>
    <Status xmlns="64b8424f-f6e1-4220-b76a-fa8c126d6c46" xsi:nil="true"/>
    <Date xmlns="64b8424f-f6e1-4220-b76a-fa8c126d6c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FFB208-C7BC-4D8D-B92C-2E9438EF27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8424f-f6e1-4220-b76a-fa8c126d6c46"/>
    <ds:schemaRef ds:uri="3590a3ca-cfe9-4446-9275-21ca88953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0D9B6D-6E58-451D-A069-A83E0CD5D1EA}">
  <ds:schemaRefs>
    <ds:schemaRef ds:uri="http://purl.org/dc/elements/1.1/"/>
    <ds:schemaRef ds:uri="http://schemas.microsoft.com/office/2006/metadata/properties"/>
    <ds:schemaRef ds:uri="http://purl.org/dc/terms/"/>
    <ds:schemaRef ds:uri="3590a3ca-cfe9-4446-9275-21ca88953524"/>
    <ds:schemaRef ds:uri="http://schemas.microsoft.com/office/2006/documentManagement/types"/>
    <ds:schemaRef ds:uri="http://schemas.microsoft.com/office/infopath/2007/PartnerControls"/>
    <ds:schemaRef ds:uri="64b8424f-f6e1-4220-b76a-fa8c126d6c4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76DEB88-FB00-4E25-BDBD-DC7B7C92F18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4a3f7ad-8e4c-406b-9d15-d4ee6477c700}" enabled="0" method="" siteId="{44a3f7ad-8e4c-406b-9d15-d4ee6477c70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KPI-OnePager-new-2024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Dohle Achim - Visp</dc:creator>
  <cp:keywords/>
  <dc:description/>
  <cp:lastModifiedBy>mpue</cp:lastModifiedBy>
  <cp:revision/>
  <cp:lastPrinted>2026-01-05T14:03:53Z</cp:lastPrinted>
  <dcterms:created xsi:type="dcterms:W3CDTF">2024-01-16T12:58:10Z</dcterms:created>
  <dcterms:modified xsi:type="dcterms:W3CDTF">2026-01-07T15:09:23Z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0x010100C8AF4895E423B8468C9EAB01143CDC64</vt:lpwstr>
  </property>
  <property fmtid="{D5CDD505-2E9C-101B-9397-08002B2CF9AE}" pid="3" name="MediaServiceImageTags">
    <vt:lpwstr/>
  </property>
</Properties>
</file>